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R\Desktop\"/>
    </mc:Choice>
  </mc:AlternateContent>
  <xr:revisionPtr revIDLastSave="0" documentId="8_{B6F1BE67-5137-4589-8272-0BD0D3368891}" xr6:coauthVersionLast="47" xr6:coauthVersionMax="47" xr10:uidLastSave="{00000000-0000-0000-0000-000000000000}"/>
  <bookViews>
    <workbookView xWindow="-108" yWindow="-108" windowWidth="23256" windowHeight="13896" xr2:uid="{BF40DA0C-42FE-48D1-A872-DDA27154E63E}"/>
  </bookViews>
  <sheets>
    <sheet name="Pricer" sheetId="1" r:id="rId1"/>
    <sheet name="Convergence" sheetId="2" r:id="rId2"/>
    <sheet name="Gap_Strike" sheetId="3" r:id="rId3"/>
    <sheet name="graph" sheetId="5" r:id="rId4"/>
  </sheets>
  <functionGroups builtInGroupCount="19"/>
  <definedNames>
    <definedName name="Divamount">Pricer!$H$14</definedName>
    <definedName name="divDate">Pricer!$H$15</definedName>
    <definedName name="EU_US">Pricer!$K$12</definedName>
    <definedName name="IntRate">Pricer!$H$12</definedName>
    <definedName name="Mat">Pricer!$K$10</definedName>
    <definedName name="Negative_prob">Pricer!$H$28</definedName>
    <definedName name="OptPrice">Pricer!$H$29</definedName>
    <definedName name="OptType">Pricer!$K$11</definedName>
    <definedName name="Pr_date">Pricer!$H$10</definedName>
    <definedName name="St">Pricer!$H$11</definedName>
    <definedName name="Steps">Pricer!$K$14</definedName>
    <definedName name="Strike">Pricer!$K$13</definedName>
    <definedName name="Time_VBA">Pricer!$H$30</definedName>
    <definedName name="Vol">Pricer!$H$13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6" i="1" l="1"/>
  <c r="N25" i="1"/>
  <c r="N24" i="1"/>
  <c r="N10" i="1"/>
  <c r="N12" i="1" s="1"/>
  <c r="N11" i="1"/>
  <c r="N13" i="1" s="1"/>
  <c r="H27" i="1"/>
  <c r="K21" i="1" a="1"/>
  <c r="K23" i="1" a="1"/>
  <c r="L22" i="1" a="1"/>
  <c r="L21" i="1" a="1"/>
  <c r="L23" i="1" a="1"/>
  <c r="M22" i="1" a="1"/>
  <c r="K22" i="1" a="1"/>
  <c r="N14" i="1" l="1"/>
  <c r="H22" i="1" s="1"/>
  <c r="H24" i="1" s="1"/>
  <c r="L23" i="1"/>
  <c r="K23" i="1"/>
  <c r="M22" i="1"/>
  <c r="L22" i="1"/>
  <c r="K22" i="1"/>
  <c r="L21" i="1"/>
  <c r="K21" i="1"/>
  <c r="N23" i="1" l="1"/>
  <c r="N29" i="1" s="1"/>
  <c r="N22" i="1"/>
  <c r="N28" i="1" s="1"/>
  <c r="N21" i="1"/>
  <c r="N2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<sst xmlns="http://schemas.openxmlformats.org/spreadsheetml/2006/main" count="60" uniqueCount="56">
  <si>
    <t>Start price</t>
  </si>
  <si>
    <t>Dividend</t>
  </si>
  <si>
    <t>Div  ex-date</t>
  </si>
  <si>
    <t>Maturity</t>
  </si>
  <si>
    <t>Strike</t>
  </si>
  <si>
    <t>None</t>
  </si>
  <si>
    <t>Non</t>
  </si>
  <si>
    <t>Print</t>
  </si>
  <si>
    <t>BS Price</t>
  </si>
  <si>
    <t>Python Price</t>
  </si>
  <si>
    <t>Error python</t>
  </si>
  <si>
    <t>Run time Tree (s)</t>
  </si>
  <si>
    <t>Run time Pricing (s)</t>
  </si>
  <si>
    <t>Run time Total (s)</t>
  </si>
  <si>
    <t>Proba négative ?</t>
  </si>
  <si>
    <t>VBA Time</t>
  </si>
  <si>
    <t>EU</t>
  </si>
  <si>
    <t>Option Pricer  Trinomial Tree</t>
  </si>
  <si>
    <t>Greeks</t>
  </si>
  <si>
    <t>Opt(S(0)+h)</t>
  </si>
  <si>
    <t>Opt(S(0)-h)</t>
  </si>
  <si>
    <t>Opt(S(0))</t>
  </si>
  <si>
    <t>Value</t>
  </si>
  <si>
    <t>Delta</t>
  </si>
  <si>
    <t>Gamma</t>
  </si>
  <si>
    <t>Vega</t>
  </si>
  <si>
    <t>Delta B&amp;S</t>
  </si>
  <si>
    <t>Gamma B&amp;S</t>
  </si>
  <si>
    <t>Vega B&amp;S</t>
  </si>
  <si>
    <t>Gap Delta</t>
  </si>
  <si>
    <t>Gap Gamma</t>
  </si>
  <si>
    <t>Gap Vega</t>
  </si>
  <si>
    <t>Interet rate</t>
  </si>
  <si>
    <t>Valuation Date</t>
  </si>
  <si>
    <t>Volatility</t>
  </si>
  <si>
    <t>Option Type</t>
  </si>
  <si>
    <t>Exercice Type</t>
  </si>
  <si>
    <t>Number of steps</t>
  </si>
  <si>
    <t>Market</t>
  </si>
  <si>
    <t xml:space="preserve">Option </t>
  </si>
  <si>
    <t>OUTPUT</t>
  </si>
  <si>
    <t>Black Scholes</t>
  </si>
  <si>
    <t>d_1</t>
  </si>
  <si>
    <t>d_2</t>
  </si>
  <si>
    <t>N(d_1)</t>
  </si>
  <si>
    <t>N(d_2)</t>
  </si>
  <si>
    <t>Price</t>
  </si>
  <si>
    <t>VBA Trinomial Price</t>
  </si>
  <si>
    <t>Number_Steps</t>
  </si>
  <si>
    <t>Tree Price</t>
  </si>
  <si>
    <t>Error</t>
  </si>
  <si>
    <t>1/N</t>
  </si>
  <si>
    <t>GAP = |BS - Tree|</t>
  </si>
  <si>
    <t xml:space="preserve">    S = 100             ' Spot
    r = 0.05            ' Taux sans risque (5 %)
    sigma = 0.2         ' Volatilité (20 %)
    T = 1               ' Maturité en années</t>
  </si>
  <si>
    <t>Parameters Used in VBA Module: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</si>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</sst>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d\-mmm\-yy;@"/>
    <numFmt numFmtId="165" formatCode="0.0000000"/>
    <numFmt numFmtId="166" formatCode="0.0000"/>
    <numFmt numFmtId="167" formatCode="0.000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6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22"/>
      <color theme="1"/>
      <name val="Calibri"/>
      <family val="2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8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000000"/>
      <name val="Aptos Narrow"/>
      <family val="2"/>
    </font>
    <font>
      <sz val="9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89999084444715716"/>
        <bgColor rgb="FF000000"/>
      </patternFill>
    </fill>
    <fill>
      <patternFill patternType="solid">
        <fgColor theme="3" tint="0.74999237037263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7" fillId="3" borderId="1" xfId="0" applyFont="1" applyFill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9" fontId="6" fillId="0" borderId="1" xfId="0" applyNumberFormat="1" applyFont="1" applyBorder="1" applyAlignment="1">
      <alignment horizontal="center"/>
    </xf>
    <xf numFmtId="0" fontId="6" fillId="0" borderId="0" xfId="0" applyFont="1" applyAlignment="1">
      <alignment horizontal="left"/>
    </xf>
    <xf numFmtId="9" fontId="6" fillId="0" borderId="0" xfId="0" applyNumberFormat="1" applyFont="1" applyAlignment="1">
      <alignment horizontal="left"/>
    </xf>
    <xf numFmtId="0" fontId="2" fillId="0" borderId="1" xfId="0" applyFont="1" applyBorder="1"/>
    <xf numFmtId="0" fontId="6" fillId="0" borderId="1" xfId="0" applyFont="1" applyBorder="1"/>
    <xf numFmtId="0" fontId="7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5" fontId="4" fillId="4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2" fillId="5" borderId="1" xfId="0" applyFont="1" applyFill="1" applyBorder="1"/>
    <xf numFmtId="166" fontId="6" fillId="4" borderId="1" xfId="0" applyNumberFormat="1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166" fontId="9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167" fontId="2" fillId="0" borderId="1" xfId="0" applyNumberFormat="1" applyFont="1" applyBorder="1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7" fillId="0" borderId="0" xfId="0" applyFont="1"/>
    <xf numFmtId="0" fontId="14" fillId="0" borderId="13" xfId="0" applyFont="1" applyBorder="1"/>
    <xf numFmtId="0" fontId="7" fillId="2" borderId="1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8" fillId="5" borderId="0" xfId="0" applyFont="1" applyFill="1" applyAlignment="1">
      <alignment horizontal="center" vertical="center"/>
    </xf>
    <xf numFmtId="0" fontId="7" fillId="6" borderId="1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Convergence of Trinomial Tree toward Black–Scholes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Convergence!$E$2</c:f>
              <c:strCache>
                <c:ptCount val="1"/>
                <c:pt idx="0">
                  <c:v>Error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Convergence!$B$3:$B$22</c:f>
              <c:numCache>
                <c:formatCode>General</c:formatCode>
                <c:ptCount val="20"/>
                <c:pt idx="0">
                  <c:v>10</c:v>
                </c:pt>
                <c:pt idx="1">
                  <c:v>30</c:v>
                </c:pt>
                <c:pt idx="2">
                  <c:v>50</c:v>
                </c:pt>
                <c:pt idx="3">
                  <c:v>70</c:v>
                </c:pt>
                <c:pt idx="4">
                  <c:v>90</c:v>
                </c:pt>
                <c:pt idx="5">
                  <c:v>110</c:v>
                </c:pt>
                <c:pt idx="6">
                  <c:v>130</c:v>
                </c:pt>
                <c:pt idx="7">
                  <c:v>150</c:v>
                </c:pt>
                <c:pt idx="8">
                  <c:v>170</c:v>
                </c:pt>
                <c:pt idx="9">
                  <c:v>190</c:v>
                </c:pt>
                <c:pt idx="10">
                  <c:v>210</c:v>
                </c:pt>
                <c:pt idx="11">
                  <c:v>230</c:v>
                </c:pt>
                <c:pt idx="12">
                  <c:v>250</c:v>
                </c:pt>
                <c:pt idx="13">
                  <c:v>270</c:v>
                </c:pt>
                <c:pt idx="14">
                  <c:v>290</c:v>
                </c:pt>
                <c:pt idx="15">
                  <c:v>310</c:v>
                </c:pt>
                <c:pt idx="16">
                  <c:v>330</c:v>
                </c:pt>
                <c:pt idx="17">
                  <c:v>350</c:v>
                </c:pt>
                <c:pt idx="18">
                  <c:v>370</c:v>
                </c:pt>
                <c:pt idx="19">
                  <c:v>390</c:v>
                </c:pt>
              </c:numCache>
            </c:numRef>
          </c:xVal>
          <c:yVal>
            <c:numRef>
              <c:f>Convergence!$E$3:$E$22</c:f>
              <c:numCache>
                <c:formatCode>General</c:formatCode>
                <c:ptCount val="20"/>
                <c:pt idx="0">
                  <c:v>8.7038996535341084E-2</c:v>
                </c:pt>
                <c:pt idx="1">
                  <c:v>3.1386613053587809E-3</c:v>
                </c:pt>
                <c:pt idx="2">
                  <c:v>4.0027997410398086E-2</c:v>
                </c:pt>
                <c:pt idx="3">
                  <c:v>3.2385374349086504E-3</c:v>
                </c:pt>
                <c:pt idx="4">
                  <c:v>7.325705399560789E-3</c:v>
                </c:pt>
                <c:pt idx="5">
                  <c:v>8.5175113792210766E-3</c:v>
                </c:pt>
                <c:pt idx="6">
                  <c:v>5.8879354909553427E-3</c:v>
                </c:pt>
                <c:pt idx="7">
                  <c:v>1.6347478997698062E-3</c:v>
                </c:pt>
                <c:pt idx="8">
                  <c:v>3.2692534155192021E-3</c:v>
                </c:pt>
                <c:pt idx="9">
                  <c:v>8.3633581702677873E-3</c:v>
                </c:pt>
                <c:pt idx="10">
                  <c:v>5.6383029423070496E-3</c:v>
                </c:pt>
                <c:pt idx="11">
                  <c:v>1.4600118478256263E-3</c:v>
                </c:pt>
                <c:pt idx="12">
                  <c:v>1.1016132539118928E-3</c:v>
                </c:pt>
                <c:pt idx="13">
                  <c:v>2.5056482840426497E-3</c:v>
                </c:pt>
                <c:pt idx="14">
                  <c:v>3.0683982291641598E-3</c:v>
                </c:pt>
                <c:pt idx="15">
                  <c:v>3.0128361822097105E-3</c:v>
                </c:pt>
                <c:pt idx="16">
                  <c:v>2.4992137775239343E-3</c:v>
                </c:pt>
                <c:pt idx="17">
                  <c:v>1.6446190177088482E-3</c:v>
                </c:pt>
                <c:pt idx="18">
                  <c:v>5.3581700461080572E-4</c:v>
                </c:pt>
                <c:pt idx="19">
                  <c:v>7.6211662888958642E-4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3F-4593-91E2-183F515FA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492607"/>
        <c:axId val="614487807"/>
      </c:scatterChart>
      <c:valAx>
        <c:axId val="614492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 b="1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Number of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4487807"/>
        <c:crosses val="autoZero"/>
        <c:crossBetween val="midCat"/>
      </c:valAx>
      <c:valAx>
        <c:axId val="61448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 b="1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| Tree - BS |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4492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Difference |Trinomial - BS| en fonction du Strike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GAP</c:v>
          </c:tx>
          <c:spPr>
            <a:ln w="222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Gap_Strike!$B$3:$B$27</c:f>
              <c:numCache>
                <c:formatCode>General</c:formatCode>
                <c:ptCount val="25"/>
                <c:pt idx="0">
                  <c:v>80</c:v>
                </c:pt>
                <c:pt idx="1">
                  <c:v>85</c:v>
                </c:pt>
                <c:pt idx="2">
                  <c:v>90</c:v>
                </c:pt>
                <c:pt idx="3">
                  <c:v>95</c:v>
                </c:pt>
                <c:pt idx="4">
                  <c:v>100</c:v>
                </c:pt>
                <c:pt idx="5">
                  <c:v>105</c:v>
                </c:pt>
                <c:pt idx="6">
                  <c:v>110</c:v>
                </c:pt>
                <c:pt idx="7">
                  <c:v>115</c:v>
                </c:pt>
                <c:pt idx="8">
                  <c:v>120</c:v>
                </c:pt>
                <c:pt idx="9">
                  <c:v>125</c:v>
                </c:pt>
                <c:pt idx="10">
                  <c:v>130</c:v>
                </c:pt>
                <c:pt idx="11">
                  <c:v>135</c:v>
                </c:pt>
                <c:pt idx="12">
                  <c:v>140</c:v>
                </c:pt>
                <c:pt idx="13">
                  <c:v>145</c:v>
                </c:pt>
                <c:pt idx="14">
                  <c:v>150</c:v>
                </c:pt>
                <c:pt idx="15">
                  <c:v>155</c:v>
                </c:pt>
                <c:pt idx="16">
                  <c:v>160</c:v>
                </c:pt>
                <c:pt idx="17">
                  <c:v>165</c:v>
                </c:pt>
                <c:pt idx="18">
                  <c:v>170</c:v>
                </c:pt>
                <c:pt idx="19">
                  <c:v>175</c:v>
                </c:pt>
                <c:pt idx="20">
                  <c:v>180</c:v>
                </c:pt>
                <c:pt idx="21">
                  <c:v>185</c:v>
                </c:pt>
                <c:pt idx="22">
                  <c:v>190</c:v>
                </c:pt>
                <c:pt idx="23">
                  <c:v>195</c:v>
                </c:pt>
                <c:pt idx="24">
                  <c:v>200</c:v>
                </c:pt>
              </c:numCache>
            </c:numRef>
          </c:xVal>
          <c:yVal>
            <c:numRef>
              <c:f>Gap_Strike!$E$3:$E$27</c:f>
              <c:numCache>
                <c:formatCode>General</c:formatCode>
                <c:ptCount val="25"/>
                <c:pt idx="0">
                  <c:v>2.7144442639617239E-3</c:v>
                </c:pt>
                <c:pt idx="1">
                  <c:v>2.4085675135161466E-3</c:v>
                </c:pt>
                <c:pt idx="2">
                  <c:v>1.2728009223614833E-3</c:v>
                </c:pt>
                <c:pt idx="3">
                  <c:v>4.3121311494704884E-3</c:v>
                </c:pt>
                <c:pt idx="4">
                  <c:v>8.5355071959050122E-3</c:v>
                </c:pt>
                <c:pt idx="5">
                  <c:v>7.4217216152732135E-3</c:v>
                </c:pt>
                <c:pt idx="6">
                  <c:v>1.6532153190835785E-3</c:v>
                </c:pt>
                <c:pt idx="7">
                  <c:v>3.8333888754227274E-3</c:v>
                </c:pt>
                <c:pt idx="8">
                  <c:v>2.977931859749372E-3</c:v>
                </c:pt>
                <c:pt idx="9">
                  <c:v>7.483481874826392E-3</c:v>
                </c:pt>
                <c:pt idx="10">
                  <c:v>3.0171154240528075E-3</c:v>
                </c:pt>
                <c:pt idx="11">
                  <c:v>2.3244451763868579E-3</c:v>
                </c:pt>
                <c:pt idx="12">
                  <c:v>2.0431749497016316E-3</c:v>
                </c:pt>
                <c:pt idx="13">
                  <c:v>3.1081573850686439E-3</c:v>
                </c:pt>
                <c:pt idx="14">
                  <c:v>9.580797140371633E-4</c:v>
                </c:pt>
                <c:pt idx="15">
                  <c:v>6.5179173087445696E-4</c:v>
                </c:pt>
                <c:pt idx="16">
                  <c:v>1.0948859507693143E-3</c:v>
                </c:pt>
                <c:pt idx="17">
                  <c:v>6.3945286573885429E-6</c:v>
                </c:pt>
                <c:pt idx="18">
                  <c:v>3.4901291862388106E-4</c:v>
                </c:pt>
                <c:pt idx="19">
                  <c:v>2.6691411047113922E-4</c:v>
                </c:pt>
                <c:pt idx="20">
                  <c:v>1.0449551722163317E-4</c:v>
                </c:pt>
                <c:pt idx="21">
                  <c:v>1.5776646227438212E-5</c:v>
                </c:pt>
                <c:pt idx="22">
                  <c:v>7.2863430479689489E-5</c:v>
                </c:pt>
                <c:pt idx="23">
                  <c:v>8.2630444705014336E-5</c:v>
                </c:pt>
                <c:pt idx="24">
                  <c:v>6.7403822370231542E-5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BF5-49C4-A573-A2D75D8C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1834176"/>
        <c:axId val="981834656"/>
      </c:scatterChart>
      <c:valAx>
        <c:axId val="981834176"/>
        <c:scaling>
          <c:orientation val="minMax"/>
          <c:max val="210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1834656"/>
        <c:crosses val="autoZero"/>
        <c:crossBetween val="midCat"/>
        <c:majorUnit val="10"/>
      </c:valAx>
      <c:valAx>
        <c:axId val="981834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|Trinomial - BS|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1834176"/>
        <c:crosses val="autoZero"/>
        <c:crossBetween val="midCat"/>
        <c:majorUnit val="5.0000000000000012E-4"/>
        <c:minorUnit val="1.0000000000000003E-4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487680</xdr:colOff>
          <xdr:row>15</xdr:row>
          <xdr:rowOff>160020</xdr:rowOff>
        </xdr:from>
        <xdr:to>
          <xdr:col>7</xdr:col>
          <xdr:colOff>563880</xdr:colOff>
          <xdr:row>18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PRICING VBA</a:t>
              </a:r>
              <a:endParaRPr lang="fr-FR" sz="1100" b="0" i="0" u="none" strike="noStrike" baseline="0">
                <a:solidFill>
                  <a:srgbClr val="000000"/>
                </a:solidFill>
                <a:latin typeface="Aptos Narrow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15</xdr:row>
          <xdr:rowOff>144780</xdr:rowOff>
        </xdr:from>
        <xdr:to>
          <xdr:col>12</xdr:col>
          <xdr:colOff>419100</xdr:colOff>
          <xdr:row>18</xdr:row>
          <xdr:rowOff>60960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COMPUTE GREEKS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332683</xdr:colOff>
      <xdr:row>1</xdr:row>
      <xdr:rowOff>100484</xdr:rowOff>
    </xdr:from>
    <xdr:to>
      <xdr:col>18</xdr:col>
      <xdr:colOff>334945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13F820-31E8-F8CB-4B25-FFC02C9370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18815</xdr:colOff>
      <xdr:row>2</xdr:row>
      <xdr:rowOff>18815</xdr:rowOff>
    </xdr:from>
    <xdr:to>
      <xdr:col>18</xdr:col>
      <xdr:colOff>329259</xdr:colOff>
      <xdr:row>24</xdr:row>
      <xdr:rowOff>112889</xdr:rowOff>
    </xdr:to>
    <xdr:graphicFrame macro="">
      <xdr:nvGraphicFramePr>
        <xdr:cNvPr id="3" name="GapStrikeChart">
          <a:extLst>
            <a:ext uri="{FF2B5EF4-FFF2-40B4-BE49-F238E27FC236}">
              <a16:creationId xmlns:a16="http://schemas.microsoft.com/office/drawing/2014/main" id="{CB16C02E-0FA8-093E-7A4D-CDA9D2B96B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0AC8F-061F-4439-BCDB-6493FE53E5A7}">
  <sheetPr codeName="Sheet1"/>
  <dimension ref="C1:P36"/>
  <sheetViews>
    <sheetView tabSelected="1" zoomScale="91" zoomScaleNormal="91" workbookViewId="0">
      <selection activeCell="H14" sqref="H14"/>
    </sheetView>
  </sheetViews>
  <sheetFormatPr defaultRowHeight="14.4" x14ac:dyDescent="0.3"/>
  <cols>
    <col min="1" max="1" width="8.88671875" style="1"/>
    <col min="2" max="2" width="16.33203125" style="1" bestFit="1" customWidth="1"/>
    <col min="3" max="3" width="13.77734375" style="2" bestFit="1" customWidth="1"/>
    <col min="4" max="6" width="8.88671875" style="1"/>
    <col min="7" max="7" width="19.109375" style="1" bestFit="1" customWidth="1"/>
    <col min="8" max="8" width="13.33203125" style="1" bestFit="1" customWidth="1"/>
    <col min="9" max="9" width="16.44140625" style="1" customWidth="1"/>
    <col min="10" max="10" width="16.5546875" style="1" bestFit="1" customWidth="1"/>
    <col min="11" max="11" width="13.33203125" style="1" bestFit="1" customWidth="1"/>
    <col min="12" max="12" width="18.33203125" style="1" customWidth="1"/>
    <col min="13" max="13" width="12.5546875" style="1" bestFit="1" customWidth="1"/>
    <col min="14" max="14" width="12.5546875" style="2" bestFit="1" customWidth="1"/>
    <col min="15" max="16" width="13.33203125" style="1" bestFit="1" customWidth="1"/>
    <col min="17" max="17" width="11" style="1" bestFit="1" customWidth="1"/>
    <col min="18" max="16384" width="8.88671875" style="1"/>
  </cols>
  <sheetData>
    <row r="1" spans="3:16" ht="14.4" customHeight="1" x14ac:dyDescent="0.3">
      <c r="C1" s="1"/>
      <c r="J1" s="21"/>
      <c r="K1" s="21"/>
      <c r="L1" s="21"/>
      <c r="M1" s="21"/>
      <c r="N1" s="4"/>
      <c r="O1" s="5"/>
    </row>
    <row r="2" spans="3:16" ht="14.4" customHeight="1" x14ac:dyDescent="0.3">
      <c r="C2" s="1"/>
      <c r="G2" s="21"/>
      <c r="H2" s="21"/>
      <c r="I2" s="21"/>
      <c r="J2" s="21"/>
      <c r="K2" s="21"/>
      <c r="L2" s="21"/>
      <c r="M2" s="21"/>
      <c r="N2" s="4"/>
      <c r="O2" s="5"/>
    </row>
    <row r="3" spans="3:16" ht="14.4" customHeight="1" x14ac:dyDescent="0.3">
      <c r="C3" s="1"/>
      <c r="G3" s="45" t="s">
        <v>17</v>
      </c>
      <c r="H3" s="45"/>
      <c r="I3" s="45"/>
      <c r="J3" s="45"/>
      <c r="K3" s="45"/>
      <c r="L3" s="21"/>
      <c r="M3" s="21"/>
      <c r="N3" s="4"/>
      <c r="O3" s="5"/>
    </row>
    <row r="4" spans="3:16" ht="14.4" customHeight="1" x14ac:dyDescent="0.3">
      <c r="C4" s="1"/>
      <c r="G4" s="45"/>
      <c r="H4" s="45"/>
      <c r="I4" s="45"/>
      <c r="J4" s="45"/>
      <c r="K4" s="45"/>
      <c r="L4" s="21"/>
      <c r="M4" s="21"/>
      <c r="N4" s="4"/>
      <c r="O4" s="5"/>
    </row>
    <row r="5" spans="3:16" ht="15.6" customHeight="1" x14ac:dyDescent="0.3">
      <c r="C5" s="1"/>
      <c r="G5" s="45"/>
      <c r="H5" s="45"/>
      <c r="I5" s="45"/>
      <c r="J5" s="45"/>
      <c r="K5" s="45"/>
      <c r="L5" s="21"/>
      <c r="M5" s="21"/>
      <c r="N5" s="6"/>
      <c r="O5" s="3"/>
      <c r="P5" s="3"/>
    </row>
    <row r="6" spans="3:16" ht="15.6" customHeight="1" x14ac:dyDescent="0.3">
      <c r="C6" s="1"/>
      <c r="G6" s="21"/>
      <c r="H6" s="21"/>
      <c r="I6" s="21"/>
      <c r="J6" s="21"/>
      <c r="K6" s="21"/>
      <c r="L6" s="21"/>
      <c r="M6" s="21"/>
      <c r="N6" s="6"/>
      <c r="O6" s="3"/>
      <c r="P6" s="3"/>
    </row>
    <row r="7" spans="3:16" ht="15.6" customHeight="1" x14ac:dyDescent="0.3">
      <c r="C7" s="1"/>
      <c r="G7" s="21"/>
      <c r="H7" s="21"/>
      <c r="I7" s="21"/>
      <c r="J7" s="21"/>
      <c r="K7" s="21"/>
      <c r="L7" s="21"/>
      <c r="M7" s="21"/>
    </row>
    <row r="8" spans="3:16" ht="15.6" customHeight="1" x14ac:dyDescent="0.3">
      <c r="C8" s="1"/>
      <c r="F8" s="3"/>
      <c r="I8" s="3"/>
      <c r="J8" s="3"/>
      <c r="K8" s="3"/>
      <c r="L8" s="3"/>
      <c r="M8" s="3"/>
    </row>
    <row r="9" spans="3:16" ht="15.6" x14ac:dyDescent="0.3">
      <c r="C9" s="1"/>
      <c r="F9" s="3"/>
      <c r="G9" s="48" t="s">
        <v>38</v>
      </c>
      <c r="H9" s="49"/>
      <c r="I9" s="3"/>
      <c r="J9" s="50" t="s">
        <v>39</v>
      </c>
      <c r="K9" s="50"/>
      <c r="L9" s="3"/>
      <c r="M9" s="46" t="s">
        <v>41</v>
      </c>
      <c r="N9" s="47"/>
    </row>
    <row r="10" spans="3:16" ht="15.6" x14ac:dyDescent="0.3">
      <c r="C10" s="1"/>
      <c r="F10" s="3"/>
      <c r="G10" s="7" t="s">
        <v>33</v>
      </c>
      <c r="H10" s="8">
        <v>45959</v>
      </c>
      <c r="I10" s="11"/>
      <c r="J10" s="7" t="s">
        <v>3</v>
      </c>
      <c r="K10" s="8">
        <v>46261</v>
      </c>
      <c r="M10" s="24" t="s">
        <v>42</v>
      </c>
      <c r="N10" s="25">
        <f>(LN(St/Strike)+(IntRate+(Vol^2)/2)*(Mat-Pr_date)/365)/(Vol*SQRT((Mat-Pr_date)/365))</f>
        <v>-8.106985815691449E-2</v>
      </c>
    </row>
    <row r="11" spans="3:16" ht="15.6" x14ac:dyDescent="0.3">
      <c r="C11" s="1"/>
      <c r="F11" s="3"/>
      <c r="G11" s="7" t="s">
        <v>0</v>
      </c>
      <c r="H11" s="9">
        <v>100</v>
      </c>
      <c r="I11" s="12"/>
      <c r="J11" s="7" t="s">
        <v>35</v>
      </c>
      <c r="K11" s="9" t="s">
        <v>55</v>
      </c>
      <c r="L11" s="3"/>
      <c r="M11" s="24" t="s">
        <v>43</v>
      </c>
      <c r="N11" s="25">
        <f>(LN(St/Strike)+(IntRate-(Vol^2)/2)*(Mat-Pr_date)/365)/(Vol*SQRT((Mat-Pr_date)/365))</f>
        <v>-0.33576172140637023</v>
      </c>
    </row>
    <row r="12" spans="3:16" ht="15.6" x14ac:dyDescent="0.3">
      <c r="C12" s="1"/>
      <c r="F12" s="3"/>
      <c r="G12" s="7" t="s">
        <v>32</v>
      </c>
      <c r="H12" s="10">
        <v>0.04</v>
      </c>
      <c r="I12" s="11"/>
      <c r="J12" s="7" t="s">
        <v>36</v>
      </c>
      <c r="K12" s="9" t="s">
        <v>16</v>
      </c>
      <c r="L12" s="3"/>
      <c r="M12" s="24" t="s">
        <v>44</v>
      </c>
      <c r="N12" s="25">
        <f>IF(OptType="Call",_xlfn.NORM.S.DIST(N10,TRUE),_xlfn.NORM.S.DIST(-N10,TRUE))</f>
        <v>0.53230680176507184</v>
      </c>
    </row>
    <row r="13" spans="3:16" ht="15.6" x14ac:dyDescent="0.3">
      <c r="C13" s="1"/>
      <c r="F13" s="3"/>
      <c r="G13" s="7" t="s">
        <v>34</v>
      </c>
      <c r="H13" s="10">
        <v>0.28000000000000003</v>
      </c>
      <c r="I13" s="11"/>
      <c r="J13" s="7" t="s">
        <v>4</v>
      </c>
      <c r="K13" s="9">
        <v>109</v>
      </c>
      <c r="L13" s="3"/>
      <c r="M13" s="24" t="s">
        <v>45</v>
      </c>
      <c r="N13" s="25">
        <f>IF(OptType="Call",_xlfn.NORM.S.DIST(N11,TRUE),_xlfn.NORM.S.DIST(-N11,TRUE))</f>
        <v>0.63147472103809266</v>
      </c>
    </row>
    <row r="14" spans="3:16" ht="15.6" x14ac:dyDescent="0.3">
      <c r="C14" s="1"/>
      <c r="F14" s="3"/>
      <c r="G14" s="7" t="s">
        <v>1</v>
      </c>
      <c r="H14" s="9">
        <v>0</v>
      </c>
      <c r="I14" s="11"/>
      <c r="J14" s="7" t="s">
        <v>37</v>
      </c>
      <c r="K14" s="9">
        <v>300</v>
      </c>
      <c r="L14" s="3"/>
      <c r="M14" s="24" t="s">
        <v>46</v>
      </c>
      <c r="N14" s="26">
        <f>IF(OptType="Call",St*N12-Strike*EXP(-IntRate*(Mat-Pr_date)/365)*N13,Strike*EXP(-IntRate*(Mat-Pr_date)/365)*N13-St*N12)</f>
        <v>13.359333652643507</v>
      </c>
    </row>
    <row r="15" spans="3:16" ht="15.6" x14ac:dyDescent="0.3">
      <c r="C15" s="1"/>
      <c r="F15" s="3"/>
      <c r="G15" s="7" t="s">
        <v>2</v>
      </c>
      <c r="H15" s="8">
        <v>46182</v>
      </c>
      <c r="I15" s="3"/>
      <c r="J15" s="3"/>
      <c r="L15" s="3"/>
    </row>
    <row r="16" spans="3:16" ht="15.6" x14ac:dyDescent="0.3">
      <c r="C16" s="1"/>
      <c r="F16" s="3"/>
      <c r="I16" s="3"/>
      <c r="J16" s="3"/>
      <c r="L16" s="3"/>
    </row>
    <row r="17" spans="3:14" ht="15.6" x14ac:dyDescent="0.3">
      <c r="C17" s="1"/>
      <c r="F17" s="3"/>
      <c r="I17" s="3"/>
      <c r="J17" s="3"/>
      <c r="L17" s="3"/>
    </row>
    <row r="18" spans="3:14" ht="15.6" x14ac:dyDescent="0.3">
      <c r="C18" s="1"/>
      <c r="F18" s="3"/>
      <c r="J18" s="3"/>
      <c r="L18" s="3"/>
    </row>
    <row r="19" spans="3:14" ht="15.6" x14ac:dyDescent="0.3">
      <c r="C19" s="1"/>
      <c r="F19" s="3"/>
      <c r="J19" s="3"/>
      <c r="L19" s="3"/>
    </row>
    <row r="20" spans="3:14" ht="15.6" x14ac:dyDescent="0.3">
      <c r="C20" s="1"/>
      <c r="F20" s="3"/>
      <c r="G20" s="35" t="s">
        <v>40</v>
      </c>
      <c r="H20" s="35"/>
      <c r="J20" s="15" t="s">
        <v>18</v>
      </c>
      <c r="K20" s="20" t="s">
        <v>19</v>
      </c>
      <c r="L20" s="20" t="s">
        <v>20</v>
      </c>
      <c r="M20" s="20" t="s">
        <v>21</v>
      </c>
      <c r="N20" s="20" t="s">
        <v>22</v>
      </c>
    </row>
    <row r="21" spans="3:14" ht="15.6" x14ac:dyDescent="0.3">
      <c r="C21" s="1"/>
      <c r="F21" s="3"/>
      <c r="G21" s="15" t="s">
        <v>7</v>
      </c>
      <c r="H21" s="16" t="s">
        <v>5</v>
      </c>
      <c r="J21" s="15" t="s">
        <v>23</v>
      </c>
      <c r="K21" s="14" cm="1">
        <f t="array" ref="K21">Price_For_Greeks(St+0.01,Vol)</f>
        <v>7.916036935324577</v>
      </c>
      <c r="L21" s="14" cm="1">
        <f t="array" ref="L21">Price_For_Greeks(St-0.01,Vol)</f>
        <v>7.9064945271073377</v>
      </c>
      <c r="M21" s="22"/>
      <c r="N21" s="27">
        <f>(K21-L21)/(2*0.01)</f>
        <v>0.47712041086196422</v>
      </c>
    </row>
    <row r="22" spans="3:14" ht="15.6" x14ac:dyDescent="0.3">
      <c r="C22" s="1"/>
      <c r="F22" s="3"/>
      <c r="G22" s="17" t="s">
        <v>8</v>
      </c>
      <c r="H22" s="23">
        <f>N14</f>
        <v>13.359333652643507</v>
      </c>
      <c r="J22" s="15" t="s">
        <v>24</v>
      </c>
      <c r="K22" s="14" cm="1">
        <f t="array" ref="K22">Price_For_Greeks(St+0.5,Vol)</f>
        <v>8.149825936648293</v>
      </c>
      <c r="L22" s="14" cm="1">
        <f t="array" ref="L22">Price_For_Greeks(St-0.5,Vol)</f>
        <v>7.6727055257835399</v>
      </c>
      <c r="M22" s="13" cm="1">
        <f t="array" ref="M22">Price_For_Greeks(St,Vol)</f>
        <v>7.9112657312159174</v>
      </c>
      <c r="N22" s="27">
        <f>(K22+L22-2*M22)/(0.5)^2</f>
        <v>-7.1054273576010019E-15</v>
      </c>
    </row>
    <row r="23" spans="3:14" ht="15.6" x14ac:dyDescent="0.3">
      <c r="C23" s="1"/>
      <c r="F23" s="3"/>
      <c r="G23" s="17" t="s">
        <v>9</v>
      </c>
      <c r="H23" s="18">
        <v>9.127105114493018</v>
      </c>
      <c r="J23" s="15" t="s">
        <v>25</v>
      </c>
      <c r="K23" s="14" cm="1">
        <f t="array" ref="K23">Price_For_Greeks(St,Vol+0.01%)</f>
        <v>7.9149016378735162</v>
      </c>
      <c r="L23" s="14" cm="1">
        <f t="array" ref="L23">Price_For_Greeks(St,Vol-0.01%)</f>
        <v>7.9076298039118802</v>
      </c>
      <c r="M23" s="22"/>
      <c r="N23" s="27">
        <f>(K23-L23)/(2*0.01%)</f>
        <v>36.359169808179992</v>
      </c>
    </row>
    <row r="24" spans="3:14" ht="15.6" x14ac:dyDescent="0.3">
      <c r="C24" s="1"/>
      <c r="F24" s="3"/>
      <c r="G24" s="17" t="s">
        <v>10</v>
      </c>
      <c r="H24" s="16">
        <f>ABS(H22-H23)</f>
        <v>4.2322285381504887</v>
      </c>
      <c r="J24" s="15" t="s">
        <v>26</v>
      </c>
      <c r="K24" s="36"/>
      <c r="L24" s="37"/>
      <c r="M24" s="38"/>
      <c r="N24" s="28">
        <f>IF(OptType="Call",_xlfn.NORM.S.DIST(V3,TRUE),-_xlfn.NORM.S.DIST(-V3,TRUE))</f>
        <v>-0.5</v>
      </c>
    </row>
    <row r="25" spans="3:14" ht="15.6" x14ac:dyDescent="0.3">
      <c r="C25" s="1"/>
      <c r="F25" s="3"/>
      <c r="G25" s="17" t="s">
        <v>11</v>
      </c>
      <c r="H25" s="16">
        <v>0.32356667518615723</v>
      </c>
      <c r="J25" s="15" t="s">
        <v>27</v>
      </c>
      <c r="K25" s="39"/>
      <c r="L25" s="40"/>
      <c r="M25" s="41"/>
      <c r="N25" s="28">
        <f>1/SQRT(2*PI())*EXP(-1/2*((LN(St/Strike)+(IntRate+(Vol^2)/2)*(Mat-Pr_date)/365)/(Vol*SQRT((Mat-Pr_date)/365)))^2)/(Vol*SQRT((Mat-Pr_date)/365)*St)</f>
        <v>1.5612333997909733E-2</v>
      </c>
    </row>
    <row r="26" spans="3:14" ht="15.6" x14ac:dyDescent="0.3">
      <c r="F26" s="3"/>
      <c r="G26" s="17" t="s">
        <v>12</v>
      </c>
      <c r="H26" s="16">
        <v>2.9398679733276367E-2</v>
      </c>
      <c r="J26" s="15" t="s">
        <v>28</v>
      </c>
      <c r="K26" s="39"/>
      <c r="L26" s="40"/>
      <c r="M26" s="41"/>
      <c r="N26" s="28">
        <f>1/SQRT(2*PI())*St*SQRT((Mat-Pr_date)/365)*EXP(-1/2*V3^2)</f>
        <v>36.288340258724183</v>
      </c>
    </row>
    <row r="27" spans="3:14" ht="15.6" x14ac:dyDescent="0.3">
      <c r="F27" s="3"/>
      <c r="G27" s="17" t="s">
        <v>13</v>
      </c>
      <c r="H27" s="16">
        <f>H26+H25</f>
        <v>0.35296535491943359</v>
      </c>
      <c r="J27" s="15" t="s">
        <v>29</v>
      </c>
      <c r="K27" s="39"/>
      <c r="L27" s="40"/>
      <c r="M27" s="41"/>
      <c r="N27" s="28">
        <f>N21-N24</f>
        <v>0.97712041086196422</v>
      </c>
    </row>
    <row r="28" spans="3:14" ht="15.6" x14ac:dyDescent="0.3">
      <c r="F28" s="3"/>
      <c r="G28" s="17" t="s">
        <v>14</v>
      </c>
      <c r="H28" s="16" t="s">
        <v>6</v>
      </c>
      <c r="J28" s="15" t="s">
        <v>30</v>
      </c>
      <c r="K28" s="39"/>
      <c r="L28" s="40"/>
      <c r="M28" s="41"/>
      <c r="N28" s="28">
        <f>N22-N25</f>
        <v>-1.5612333997916839E-2</v>
      </c>
    </row>
    <row r="29" spans="3:14" ht="15.6" x14ac:dyDescent="0.3">
      <c r="G29" s="17" t="s">
        <v>47</v>
      </c>
      <c r="H29" s="19">
        <v>13.354304000746071</v>
      </c>
      <c r="J29" s="15" t="s">
        <v>31</v>
      </c>
      <c r="K29" s="42"/>
      <c r="L29" s="43"/>
      <c r="M29" s="44"/>
      <c r="N29" s="28">
        <f>N23-N26</f>
        <v>7.082954945580866E-2</v>
      </c>
    </row>
    <row r="30" spans="3:14" ht="15.6" x14ac:dyDescent="0.3">
      <c r="G30" s="15" t="s">
        <v>15</v>
      </c>
      <c r="H30" s="16">
        <v>0.65625</v>
      </c>
    </row>
    <row r="31" spans="3:14" ht="14.4" customHeight="1" x14ac:dyDescent="0.3"/>
    <row r="32" spans="3:14" ht="15.6" x14ac:dyDescent="0.3">
      <c r="J32" s="3"/>
      <c r="K32" s="3"/>
      <c r="L32" s="3"/>
    </row>
    <row r="34" spans="10:13" ht="15.6" x14ac:dyDescent="0.3">
      <c r="J34" s="3"/>
      <c r="K34" s="3"/>
      <c r="L34" s="3"/>
      <c r="M34" s="3"/>
    </row>
    <row r="35" spans="10:13" ht="15.6" x14ac:dyDescent="0.3">
      <c r="J35" s="3"/>
      <c r="K35" s="3"/>
      <c r="L35" s="3"/>
      <c r="M35" s="3"/>
    </row>
    <row r="36" spans="10:13" ht="15.6" x14ac:dyDescent="0.3">
      <c r="J36" s="3"/>
      <c r="K36" s="3"/>
      <c r="L36" s="3"/>
      <c r="M36" s="3"/>
    </row>
  </sheetData>
  <mergeCells count="6">
    <mergeCell ref="G20:H20"/>
    <mergeCell ref="K24:M29"/>
    <mergeCell ref="G3:K5"/>
    <mergeCell ref="M9:N9"/>
    <mergeCell ref="G9:H9"/>
    <mergeCell ref="J9:K9"/>
  </mergeCells>
  <dataValidations count="2">
    <dataValidation type="list" allowBlank="1" showInputMessage="1" showErrorMessage="1" sqref="K12" xr:uid="{16EC26FC-DD49-4A22-868C-D48B8BDE40B7}">
      <formula1>"EU,US"</formula1>
    </dataValidation>
    <dataValidation type="list" allowBlank="1" showInputMessage="1" showErrorMessage="1" sqref="K11" xr:uid="{80BF2827-3106-49DC-8106-77252E461213}">
      <formula1>"Call,Put"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Factory.Price_opt">
                <anchor moveWithCells="1">
                  <from>
                    <xdr:col>6</xdr:col>
                    <xdr:colOff>487680</xdr:colOff>
                    <xdr:row>15</xdr:row>
                    <xdr:rowOff>160020</xdr:rowOff>
                  </from>
                  <to>
                    <xdr:col>7</xdr:col>
                    <xdr:colOff>563880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recalculate_greeks">
                <anchor moveWithCells="1" sizeWithCells="1">
                  <from>
                    <xdr:col>11</xdr:col>
                    <xdr:colOff>15240</xdr:colOff>
                    <xdr:row>15</xdr:row>
                    <xdr:rowOff>144780</xdr:rowOff>
                  </from>
                  <to>
                    <xdr:col>12</xdr:col>
                    <xdr:colOff>419100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33777-8AFF-49DE-B7F4-6C9551ED0891}">
  <sheetPr codeName="Sheet2"/>
  <dimension ref="A2:F23"/>
  <sheetViews>
    <sheetView zoomScaleNormal="100" workbookViewId="0">
      <selection activeCell="U17" sqref="U17"/>
    </sheetView>
  </sheetViews>
  <sheetFormatPr defaultRowHeight="14.4" x14ac:dyDescent="0.3"/>
  <cols>
    <col min="1" max="1" width="11" style="30" customWidth="1"/>
    <col min="2" max="2" width="13.77734375" style="30" customWidth="1"/>
    <col min="3" max="5" width="12" style="30" bestFit="1" customWidth="1"/>
  </cols>
  <sheetData>
    <row r="2" spans="2:6" ht="15.6" x14ac:dyDescent="0.3">
      <c r="B2" s="29" t="s">
        <v>48</v>
      </c>
      <c r="C2" s="29" t="s">
        <v>49</v>
      </c>
      <c r="D2" s="29" t="s">
        <v>8</v>
      </c>
      <c r="E2" s="29" t="s">
        <v>50</v>
      </c>
      <c r="F2" s="29" t="s">
        <v>51</v>
      </c>
    </row>
    <row r="3" spans="2:6" ht="15.6" x14ac:dyDescent="0.3">
      <c r="B3" s="16">
        <v>10</v>
      </c>
      <c r="C3" s="16">
        <v>10.537622568720911</v>
      </c>
      <c r="D3" s="16">
        <v>10.45058357218557</v>
      </c>
      <c r="E3" s="16">
        <v>8.7038996535341084E-2</v>
      </c>
      <c r="F3" s="16">
        <v>0.1</v>
      </c>
    </row>
    <row r="4" spans="2:6" ht="15.6" x14ac:dyDescent="0.3">
      <c r="B4" s="16">
        <v>30</v>
      </c>
      <c r="C4" s="16">
        <v>10.453722233490929</v>
      </c>
      <c r="D4" s="16">
        <v>10.45058357218557</v>
      </c>
      <c r="E4" s="16">
        <v>3.1386613053587809E-3</v>
      </c>
      <c r="F4" s="16">
        <v>3.3333333333333333E-2</v>
      </c>
    </row>
    <row r="5" spans="2:6" ht="15.6" x14ac:dyDescent="0.3">
      <c r="B5" s="16">
        <v>50</v>
      </c>
      <c r="C5" s="16">
        <v>10.410555574775172</v>
      </c>
      <c r="D5" s="16">
        <v>10.45058357218557</v>
      </c>
      <c r="E5" s="16">
        <v>4.0027997410398086E-2</v>
      </c>
      <c r="F5" s="16">
        <v>0.02</v>
      </c>
    </row>
    <row r="6" spans="2:6" ht="15.6" x14ac:dyDescent="0.3">
      <c r="B6" s="16">
        <v>70</v>
      </c>
      <c r="C6" s="16">
        <v>10.447345034750661</v>
      </c>
      <c r="D6" s="16">
        <v>10.45058357218557</v>
      </c>
      <c r="E6" s="16">
        <v>3.2385374349086504E-3</v>
      </c>
      <c r="F6" s="16">
        <v>1.4285714285714285E-2</v>
      </c>
    </row>
    <row r="7" spans="2:6" ht="15.6" x14ac:dyDescent="0.3">
      <c r="B7" s="16">
        <v>90</v>
      </c>
      <c r="C7" s="16">
        <v>10.457909277585131</v>
      </c>
      <c r="D7" s="16">
        <v>10.45058357218557</v>
      </c>
      <c r="E7" s="16">
        <v>7.325705399560789E-3</v>
      </c>
      <c r="F7" s="16">
        <v>1.1111111111111112E-2</v>
      </c>
    </row>
    <row r="8" spans="2:6" ht="15.6" x14ac:dyDescent="0.3">
      <c r="B8" s="16">
        <v>110</v>
      </c>
      <c r="C8" s="16">
        <v>10.459101083564791</v>
      </c>
      <c r="D8" s="16">
        <v>10.45058357218557</v>
      </c>
      <c r="E8" s="16">
        <v>8.5175113792210766E-3</v>
      </c>
      <c r="F8" s="16">
        <v>9.0909090909090905E-3</v>
      </c>
    </row>
    <row r="9" spans="2:6" ht="15.6" x14ac:dyDescent="0.3">
      <c r="B9" s="16">
        <v>130</v>
      </c>
      <c r="C9" s="16">
        <v>10.456471507676525</v>
      </c>
      <c r="D9" s="16">
        <v>10.45058357218557</v>
      </c>
      <c r="E9" s="16">
        <v>5.8879354909553427E-3</v>
      </c>
      <c r="F9" s="16">
        <v>7.6923076923076927E-3</v>
      </c>
    </row>
    <row r="10" spans="2:6" ht="15.6" x14ac:dyDescent="0.3">
      <c r="B10" s="16">
        <v>150</v>
      </c>
      <c r="C10" s="16">
        <v>10.45221832008534</v>
      </c>
      <c r="D10" s="16">
        <v>10.45058357218557</v>
      </c>
      <c r="E10" s="16">
        <v>1.6347478997698062E-3</v>
      </c>
      <c r="F10" s="16">
        <v>6.6666666666666671E-3</v>
      </c>
    </row>
    <row r="11" spans="2:6" ht="15.6" x14ac:dyDescent="0.3">
      <c r="B11" s="16">
        <v>170</v>
      </c>
      <c r="C11" s="16">
        <v>10.447314318770051</v>
      </c>
      <c r="D11" s="16">
        <v>10.45058357218557</v>
      </c>
      <c r="E11" s="16">
        <v>3.2692534155192021E-3</v>
      </c>
      <c r="F11" s="16">
        <v>5.8823529411764705E-3</v>
      </c>
    </row>
    <row r="12" spans="2:6" ht="15.6" x14ac:dyDescent="0.3">
      <c r="B12" s="16">
        <v>190</v>
      </c>
      <c r="C12" s="16">
        <v>10.442220214015302</v>
      </c>
      <c r="D12" s="16">
        <v>10.45058357218557</v>
      </c>
      <c r="E12" s="16">
        <v>8.3633581702677873E-3</v>
      </c>
      <c r="F12" s="16">
        <v>5.263157894736842E-3</v>
      </c>
    </row>
    <row r="13" spans="2:6" ht="15.6" x14ac:dyDescent="0.3">
      <c r="B13" s="16">
        <v>210</v>
      </c>
      <c r="C13" s="16">
        <v>10.444945269243263</v>
      </c>
      <c r="D13" s="16">
        <v>10.45058357218557</v>
      </c>
      <c r="E13" s="16">
        <v>5.6383029423070496E-3</v>
      </c>
      <c r="F13" s="16">
        <v>4.7619047619047623E-3</v>
      </c>
    </row>
    <row r="14" spans="2:6" ht="15.6" x14ac:dyDescent="0.3">
      <c r="B14" s="16">
        <v>230</v>
      </c>
      <c r="C14" s="16">
        <v>10.449123560337744</v>
      </c>
      <c r="D14" s="16">
        <v>10.45058357218557</v>
      </c>
      <c r="E14" s="16">
        <v>1.4600118478256263E-3</v>
      </c>
      <c r="F14" s="16">
        <v>4.3478260869565218E-3</v>
      </c>
    </row>
    <row r="15" spans="2:6" ht="15.6" x14ac:dyDescent="0.3">
      <c r="B15" s="16">
        <v>250</v>
      </c>
      <c r="C15" s="16">
        <v>10.451685185439482</v>
      </c>
      <c r="D15" s="16">
        <v>10.45058357218557</v>
      </c>
      <c r="E15" s="16">
        <v>1.1016132539118928E-3</v>
      </c>
      <c r="F15" s="16">
        <v>4.0000000000000001E-3</v>
      </c>
    </row>
    <row r="16" spans="2:6" ht="15.6" x14ac:dyDescent="0.3">
      <c r="B16" s="16">
        <v>270</v>
      </c>
      <c r="C16" s="16">
        <v>10.453089220469613</v>
      </c>
      <c r="D16" s="16">
        <v>10.45058357218557</v>
      </c>
      <c r="E16" s="16">
        <v>2.5056482840426497E-3</v>
      </c>
      <c r="F16" s="16">
        <v>3.7037037037037038E-3</v>
      </c>
    </row>
    <row r="17" spans="2:6" ht="15.6" x14ac:dyDescent="0.3">
      <c r="B17" s="16">
        <v>290</v>
      </c>
      <c r="C17" s="16">
        <v>10.453651970414734</v>
      </c>
      <c r="D17" s="16">
        <v>10.45058357218557</v>
      </c>
      <c r="E17" s="16">
        <v>3.0683982291641598E-3</v>
      </c>
      <c r="F17" s="16">
        <v>3.4482758620689655E-3</v>
      </c>
    </row>
    <row r="18" spans="2:6" ht="15.6" x14ac:dyDescent="0.3">
      <c r="B18" s="16">
        <v>310</v>
      </c>
      <c r="C18" s="16">
        <v>10.45359640836778</v>
      </c>
      <c r="D18" s="16">
        <v>10.45058357218557</v>
      </c>
      <c r="E18" s="16">
        <v>3.0128361822097105E-3</v>
      </c>
      <c r="F18" s="16">
        <v>3.2258064516129032E-3</v>
      </c>
    </row>
    <row r="19" spans="2:6" ht="15.6" x14ac:dyDescent="0.3">
      <c r="B19" s="16">
        <v>330</v>
      </c>
      <c r="C19" s="16">
        <v>10.453082785963094</v>
      </c>
      <c r="D19" s="16">
        <v>10.45058357218557</v>
      </c>
      <c r="E19" s="16">
        <v>2.4992137775239343E-3</v>
      </c>
      <c r="F19" s="16">
        <v>3.0303030303030303E-3</v>
      </c>
    </row>
    <row r="20" spans="2:6" ht="15.6" x14ac:dyDescent="0.3">
      <c r="B20" s="16">
        <v>350</v>
      </c>
      <c r="C20" s="16">
        <v>10.452228191203279</v>
      </c>
      <c r="D20" s="16">
        <v>10.45058357218557</v>
      </c>
      <c r="E20" s="16">
        <v>1.6446190177088482E-3</v>
      </c>
      <c r="F20" s="16">
        <v>2.8571428571428571E-3</v>
      </c>
    </row>
    <row r="21" spans="2:6" ht="15.6" x14ac:dyDescent="0.3">
      <c r="B21" s="16">
        <v>370</v>
      </c>
      <c r="C21" s="16">
        <v>10.451119389190181</v>
      </c>
      <c r="D21" s="16">
        <v>10.45058357218557</v>
      </c>
      <c r="E21" s="16">
        <v>5.3581700461080572E-4</v>
      </c>
      <c r="F21" s="16">
        <v>2.7027027027027029E-3</v>
      </c>
    </row>
    <row r="22" spans="2:6" ht="15.6" x14ac:dyDescent="0.3">
      <c r="B22" s="16">
        <v>390</v>
      </c>
      <c r="C22" s="16">
        <v>10.44982145555668</v>
      </c>
      <c r="D22" s="16">
        <v>10.45058357218557</v>
      </c>
      <c r="E22" s="16">
        <v>7.6211662888958642E-4</v>
      </c>
      <c r="F22" s="16">
        <v>2.5641025641025641E-3</v>
      </c>
    </row>
    <row r="23" spans="2:6" x14ac:dyDescent="0.3">
      <c r="F23" s="3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18059-A651-49BC-8799-1D1A6F74E4CB}">
  <sheetPr codeName="Sheet3"/>
  <dimension ref="A2:S36"/>
  <sheetViews>
    <sheetView zoomScaleNormal="100" workbookViewId="0">
      <selection activeCell="K28" sqref="K28"/>
    </sheetView>
  </sheetViews>
  <sheetFormatPr defaultRowHeight="15.6" x14ac:dyDescent="0.3"/>
  <cols>
    <col min="1" max="1" width="6.21875" style="3" bestFit="1" customWidth="1"/>
    <col min="2" max="3" width="12" style="3" bestFit="1" customWidth="1"/>
    <col min="4" max="4" width="17.44140625" style="3" bestFit="1" customWidth="1"/>
    <col min="5" max="5" width="17.77734375" bestFit="1" customWidth="1"/>
    <col min="6" max="6" width="7.77734375" customWidth="1"/>
  </cols>
  <sheetData>
    <row r="2" spans="2:5" x14ac:dyDescent="0.3">
      <c r="B2" s="29" t="s">
        <v>4</v>
      </c>
      <c r="C2" s="29" t="s">
        <v>49</v>
      </c>
      <c r="D2" s="29" t="s">
        <v>8</v>
      </c>
      <c r="E2" s="29" t="s">
        <v>52</v>
      </c>
    </row>
    <row r="3" spans="2:5" x14ac:dyDescent="0.3">
      <c r="B3" s="16">
        <v>80</v>
      </c>
      <c r="C3" s="16">
        <v>24.586120999663784</v>
      </c>
      <c r="D3" s="16">
        <v>24.588835443927746</v>
      </c>
      <c r="E3" s="16">
        <v>2.7144442639617239E-3</v>
      </c>
    </row>
    <row r="4" spans="2:5" x14ac:dyDescent="0.3">
      <c r="B4" s="16">
        <v>85</v>
      </c>
      <c r="C4" s="16">
        <v>20.471696488895908</v>
      </c>
      <c r="D4" s="16">
        <v>20.469287921382392</v>
      </c>
      <c r="E4" s="16">
        <v>2.4085675135161466E-3</v>
      </c>
    </row>
    <row r="5" spans="2:5" x14ac:dyDescent="0.3">
      <c r="B5" s="16">
        <v>90</v>
      </c>
      <c r="C5" s="16">
        <v>16.700721209338365</v>
      </c>
      <c r="D5" s="16">
        <v>16.699448408416004</v>
      </c>
      <c r="E5" s="16">
        <v>1.2728009223614833E-3</v>
      </c>
    </row>
    <row r="6" spans="2:5" x14ac:dyDescent="0.3">
      <c r="B6" s="16">
        <v>95</v>
      </c>
      <c r="C6" s="16">
        <v>13.342152814730117</v>
      </c>
      <c r="D6" s="16">
        <v>13.346464945879587</v>
      </c>
      <c r="E6" s="16">
        <v>4.3121311494704884E-3</v>
      </c>
    </row>
    <row r="7" spans="2:5" x14ac:dyDescent="0.3">
      <c r="B7" s="16">
        <v>100</v>
      </c>
      <c r="C7" s="16">
        <v>10.442048064989665</v>
      </c>
      <c r="D7" s="16">
        <v>10.45058357218557</v>
      </c>
      <c r="E7" s="16">
        <v>8.5355071959050122E-3</v>
      </c>
    </row>
    <row r="8" spans="2:5" x14ac:dyDescent="0.3">
      <c r="B8" s="16">
        <v>105</v>
      </c>
      <c r="C8" s="16">
        <v>8.0139305135279049</v>
      </c>
      <c r="D8" s="16">
        <v>8.0213522351431781</v>
      </c>
      <c r="E8" s="16">
        <v>7.4217216152732135E-3</v>
      </c>
    </row>
    <row r="9" spans="2:5" x14ac:dyDescent="0.3">
      <c r="B9" s="16">
        <v>110</v>
      </c>
      <c r="C9" s="16">
        <v>6.0384349144051574</v>
      </c>
      <c r="D9" s="16">
        <v>6.040088129724241</v>
      </c>
      <c r="E9" s="16">
        <v>1.6532153190835785E-3</v>
      </c>
    </row>
    <row r="10" spans="2:5" x14ac:dyDescent="0.3">
      <c r="B10" s="16">
        <v>115</v>
      </c>
      <c r="C10" s="16">
        <v>4.4704125383103754</v>
      </c>
      <c r="D10" s="16">
        <v>4.4665791494349527</v>
      </c>
      <c r="E10" s="16">
        <v>3.8333888754227274E-3</v>
      </c>
    </row>
    <row r="11" spans="2:5" x14ac:dyDescent="0.3">
      <c r="B11" s="16">
        <v>120</v>
      </c>
      <c r="C11" s="16">
        <v>3.2504553484205636</v>
      </c>
      <c r="D11" s="16">
        <v>3.2474774165608142</v>
      </c>
      <c r="E11" s="16">
        <v>2.977931859749372E-3</v>
      </c>
    </row>
    <row r="12" spans="2:5" x14ac:dyDescent="0.3">
      <c r="B12" s="16">
        <v>125</v>
      </c>
      <c r="C12" s="16">
        <v>2.3167909841403911</v>
      </c>
      <c r="D12" s="16">
        <v>2.3242744660152175</v>
      </c>
      <c r="E12" s="16">
        <v>7.483481874826392E-3</v>
      </c>
    </row>
    <row r="13" spans="2:5" x14ac:dyDescent="0.3">
      <c r="B13" s="16">
        <v>130</v>
      </c>
      <c r="C13" s="16">
        <v>1.6426100310101708</v>
      </c>
      <c r="D13" s="16">
        <v>1.639592915586118</v>
      </c>
      <c r="E13" s="16">
        <v>3.0171154240528075E-3</v>
      </c>
    </row>
    <row r="14" spans="2:5" x14ac:dyDescent="0.3">
      <c r="B14" s="16">
        <v>135</v>
      </c>
      <c r="C14" s="16">
        <v>1.1390299042330776</v>
      </c>
      <c r="D14" s="16">
        <v>1.1413543494094645</v>
      </c>
      <c r="E14" s="16">
        <v>2.3244451763868579E-3</v>
      </c>
    </row>
    <row r="15" spans="2:5" x14ac:dyDescent="0.3">
      <c r="B15" s="16">
        <v>140</v>
      </c>
      <c r="C15" s="16">
        <v>0.78700847886435266</v>
      </c>
      <c r="D15" s="16">
        <v>0.78496530391465102</v>
      </c>
      <c r="E15" s="16">
        <v>2.0431749497016316E-3</v>
      </c>
    </row>
    <row r="16" spans="2:5" x14ac:dyDescent="0.3">
      <c r="B16" s="16">
        <v>145</v>
      </c>
      <c r="C16" s="16">
        <v>0.5308538335343721</v>
      </c>
      <c r="D16" s="16">
        <v>0.53396199091944074</v>
      </c>
      <c r="E16" s="16">
        <v>3.1081573850686439E-3</v>
      </c>
    </row>
    <row r="17" spans="2:19" x14ac:dyDescent="0.3">
      <c r="B17" s="16">
        <v>150</v>
      </c>
      <c r="C17" s="16">
        <v>0.36058790586696032</v>
      </c>
      <c r="D17" s="16">
        <v>0.35962982615292316</v>
      </c>
      <c r="E17" s="16">
        <v>9.580797140371633E-4</v>
      </c>
    </row>
    <row r="18" spans="2:19" x14ac:dyDescent="0.3">
      <c r="B18" s="16">
        <v>155</v>
      </c>
      <c r="C18" s="16">
        <v>0.24070724193436663</v>
      </c>
      <c r="D18" s="16">
        <v>0.24005545020349217</v>
      </c>
      <c r="E18" s="16">
        <v>6.5179173087445696E-4</v>
      </c>
    </row>
    <row r="19" spans="2:19" x14ac:dyDescent="0.3">
      <c r="B19" s="16">
        <v>160</v>
      </c>
      <c r="C19" s="16">
        <v>0.15785936875034629</v>
      </c>
      <c r="D19" s="16">
        <v>0.1589542547011156</v>
      </c>
      <c r="E19" s="16">
        <v>1.0948859507693143E-3</v>
      </c>
    </row>
    <row r="20" spans="2:19" x14ac:dyDescent="0.3">
      <c r="B20" s="16">
        <v>165</v>
      </c>
      <c r="C20" s="16">
        <v>0.10450282864894474</v>
      </c>
      <c r="D20" s="16">
        <v>0.10449643412028735</v>
      </c>
      <c r="E20" s="16">
        <v>6.3945286573885429E-6</v>
      </c>
    </row>
    <row r="21" spans="2:19" x14ac:dyDescent="0.3">
      <c r="B21" s="16">
        <v>170</v>
      </c>
      <c r="C21" s="16">
        <v>6.860402050442975E-2</v>
      </c>
      <c r="D21" s="16">
        <v>6.8255007585805869E-2</v>
      </c>
      <c r="E21" s="16">
        <v>3.4901291862388106E-4</v>
      </c>
    </row>
    <row r="22" spans="2:19" x14ac:dyDescent="0.3">
      <c r="B22" s="16">
        <v>175</v>
      </c>
      <c r="C22" s="16">
        <v>4.4594988194068402E-2</v>
      </c>
      <c r="D22" s="16">
        <v>4.4328074083597263E-2</v>
      </c>
      <c r="E22" s="16">
        <v>2.6691411047113922E-4</v>
      </c>
    </row>
    <row r="23" spans="2:19" x14ac:dyDescent="0.3">
      <c r="B23" s="16">
        <v>180</v>
      </c>
      <c r="C23" s="16">
        <v>2.8747353633404527E-2</v>
      </c>
      <c r="D23" s="16">
        <v>2.8642858116182893E-2</v>
      </c>
      <c r="E23" s="16">
        <v>1.0449551722163317E-4</v>
      </c>
    </row>
    <row r="24" spans="2:19" x14ac:dyDescent="0.3">
      <c r="B24" s="16">
        <v>185</v>
      </c>
      <c r="C24" s="16">
        <v>1.8409114707510325E-2</v>
      </c>
      <c r="D24" s="16">
        <v>1.8424891353737764E-2</v>
      </c>
      <c r="E24" s="16">
        <v>1.5776646227438212E-5</v>
      </c>
    </row>
    <row r="25" spans="2:19" x14ac:dyDescent="0.3">
      <c r="B25" s="16">
        <v>190</v>
      </c>
      <c r="C25" s="16">
        <v>1.1732530206125425E-2</v>
      </c>
      <c r="D25" s="16">
        <v>1.1805393636605115E-2</v>
      </c>
      <c r="E25" s="16">
        <v>7.2863430479689489E-5</v>
      </c>
    </row>
    <row r="26" spans="2:19" x14ac:dyDescent="0.3">
      <c r="B26" s="16">
        <v>195</v>
      </c>
      <c r="C26" s="16">
        <v>7.4554103600200225E-3</v>
      </c>
      <c r="D26" s="16">
        <v>7.5380408047250368E-3</v>
      </c>
      <c r="E26" s="16">
        <v>8.2630444705014336E-5</v>
      </c>
    </row>
    <row r="27" spans="2:19" ht="15.6" customHeight="1" x14ac:dyDescent="0.3">
      <c r="B27" s="16">
        <v>200</v>
      </c>
      <c r="C27" s="16">
        <v>4.7314312842490517E-3</v>
      </c>
      <c r="D27" s="16">
        <v>4.7988351066192833E-3</v>
      </c>
      <c r="E27" s="16">
        <v>6.7403822370231542E-5</v>
      </c>
      <c r="N27" s="31"/>
      <c r="O27" s="31"/>
      <c r="P27" s="31"/>
      <c r="Q27" s="31"/>
      <c r="R27" s="31"/>
      <c r="S27" s="31"/>
    </row>
    <row r="28" spans="2:19" x14ac:dyDescent="0.3">
      <c r="N28" s="31"/>
      <c r="O28" s="31"/>
      <c r="P28" s="31"/>
      <c r="Q28" s="31"/>
      <c r="R28" s="31"/>
      <c r="S28" s="31"/>
    </row>
    <row r="29" spans="2:19" x14ac:dyDescent="0.3">
      <c r="C29" s="53" t="s">
        <v>54</v>
      </c>
      <c r="D29" s="53"/>
      <c r="E29" s="53"/>
      <c r="N29" s="31"/>
      <c r="O29" s="31"/>
      <c r="S29" s="31"/>
    </row>
    <row r="30" spans="2:19" x14ac:dyDescent="0.3">
      <c r="N30" s="31"/>
      <c r="O30" s="31"/>
      <c r="S30" s="31"/>
    </row>
    <row r="31" spans="2:19" ht="15.6" customHeight="1" x14ac:dyDescent="0.3">
      <c r="C31" s="51" t="s">
        <v>53</v>
      </c>
      <c r="D31" s="52"/>
      <c r="E31" s="52"/>
      <c r="N31" s="31"/>
      <c r="O31" s="31"/>
      <c r="S31" s="31"/>
    </row>
    <row r="32" spans="2:19" x14ac:dyDescent="0.3">
      <c r="C32" s="52"/>
      <c r="D32" s="52"/>
      <c r="E32" s="52"/>
      <c r="N32" s="31"/>
      <c r="O32" s="31"/>
      <c r="S32" s="31"/>
    </row>
    <row r="33" spans="3:19" x14ac:dyDescent="0.3">
      <c r="C33" s="52"/>
      <c r="D33" s="52"/>
      <c r="E33" s="52"/>
      <c r="N33" s="31"/>
      <c r="O33" s="31"/>
      <c r="P33" s="31"/>
      <c r="Q33" s="31"/>
      <c r="R33" s="31"/>
      <c r="S33" s="31"/>
    </row>
    <row r="34" spans="3:19" x14ac:dyDescent="0.3">
      <c r="C34" s="52"/>
      <c r="D34" s="52"/>
      <c r="E34" s="52"/>
      <c r="N34" s="31"/>
      <c r="O34" s="31"/>
      <c r="P34" s="31"/>
      <c r="Q34" s="31"/>
      <c r="R34" s="31"/>
      <c r="S34" s="31"/>
    </row>
    <row r="35" spans="3:19" x14ac:dyDescent="0.3">
      <c r="N35" s="31"/>
      <c r="O35" s="31"/>
      <c r="P35" s="31"/>
      <c r="Q35" s="31"/>
      <c r="R35" s="31"/>
      <c r="S35" s="31"/>
    </row>
    <row r="36" spans="3:19" x14ac:dyDescent="0.3">
      <c r="N36" s="31"/>
      <c r="O36" s="31"/>
      <c r="P36" s="31"/>
      <c r="Q36" s="31"/>
      <c r="R36" s="31"/>
      <c r="S36" s="31"/>
    </row>
  </sheetData>
  <mergeCells count="2">
    <mergeCell ref="C31:E34"/>
    <mergeCell ref="C29:E2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18F04-C8FD-4AF5-B8EC-10B26C53F686}">
  <sheetPr codeName="Sheet5"/>
  <dimension ref="B1:V43"/>
  <sheetViews>
    <sheetView zoomScale="85" zoomScaleNormal="85" workbookViewId="0">
      <selection activeCell="J9" sqref="J9"/>
    </sheetView>
  </sheetViews>
  <sheetFormatPr defaultColWidth="8.77734375" defaultRowHeight="16.05" customHeight="1" x14ac:dyDescent="0.25"/>
  <cols>
    <col min="1" max="16384" width="8.77734375" style="32"/>
  </cols>
  <sheetData>
    <row r="1" spans="2:22" ht="16.05" customHeight="1" x14ac:dyDescent="0.3">
      <c r="B1" s="33"/>
    </row>
    <row r="3" spans="2:22" ht="16.05" customHeight="1" x14ac:dyDescent="0.25">
      <c r="V3" s="34">
        <v>787.13623885349728</v>
      </c>
    </row>
    <row r="4" spans="2:22" ht="16.05" customHeight="1" x14ac:dyDescent="0.25">
      <c r="U4" s="34">
        <v>710.84188531355755</v>
      </c>
      <c r="V4" s="34">
        <v>712.01915637255183</v>
      </c>
    </row>
    <row r="5" spans="2:22" ht="16.05" customHeight="1" x14ac:dyDescent="0.25">
      <c r="T5" s="34">
        <v>641.94247574234703</v>
      </c>
      <c r="U5" s="34">
        <v>643.00563804868295</v>
      </c>
      <c r="V5" s="34">
        <v>644.07056112663429</v>
      </c>
    </row>
    <row r="6" spans="2:22" ht="16.05" customHeight="1" x14ac:dyDescent="0.25">
      <c r="S6" s="34">
        <v>579.72124417012583</v>
      </c>
      <c r="T6" s="34">
        <v>580.68135788478753</v>
      </c>
      <c r="U6" s="34">
        <v>581.64306170564964</v>
      </c>
      <c r="V6" s="34">
        <v>582.60635826619034</v>
      </c>
    </row>
    <row r="7" spans="2:22" ht="16.05" customHeight="1" x14ac:dyDescent="0.25">
      <c r="R7" s="34">
        <v>523.5308982374429</v>
      </c>
      <c r="S7" s="34">
        <v>524.39795149881911</v>
      </c>
      <c r="T7" s="34">
        <v>525.26644074298201</v>
      </c>
      <c r="U7" s="34">
        <v>526.13636834815475</v>
      </c>
      <c r="V7" s="34">
        <v>527.00773669650039</v>
      </c>
    </row>
    <row r="8" spans="2:22" ht="16.05" customHeight="1" x14ac:dyDescent="0.25">
      <c r="Q8" s="34">
        <v>472.78688536187298</v>
      </c>
      <c r="R8" s="34">
        <v>473.56989819314833</v>
      </c>
      <c r="S8" s="34">
        <v>474.35420782243733</v>
      </c>
      <c r="T8" s="34">
        <v>475.13981639745128</v>
      </c>
      <c r="U8" s="34">
        <v>475.92672606945729</v>
      </c>
      <c r="V8" s="34">
        <v>476.71493899328675</v>
      </c>
    </row>
    <row r="9" spans="2:22" ht="16.05" customHeight="1" x14ac:dyDescent="0.25">
      <c r="P9" s="34">
        <v>426.96131159158836</v>
      </c>
      <c r="Q9" s="34">
        <v>427.6684297367508</v>
      </c>
      <c r="R9" s="34">
        <v>428.37671898584648</v>
      </c>
      <c r="S9" s="34">
        <v>429.08618127841561</v>
      </c>
      <c r="T9" s="34">
        <v>429.79681855721145</v>
      </c>
      <c r="U9" s="34">
        <v>430.508632768204</v>
      </c>
      <c r="V9" s="34">
        <v>431.22162586058715</v>
      </c>
    </row>
    <row r="10" spans="2:22" ht="16.05" customHeight="1" x14ac:dyDescent="0.25">
      <c r="O10" s="34">
        <v>385.57744988310992</v>
      </c>
      <c r="P10" s="34">
        <v>386.21602954776762</v>
      </c>
      <c r="Q10" s="34">
        <v>386.85566680536311</v>
      </c>
      <c r="R10" s="34">
        <v>387.4963634074449</v>
      </c>
      <c r="S10" s="34">
        <v>388.13812110846118</v>
      </c>
      <c r="T10" s="34">
        <v>388.78094166576659</v>
      </c>
      <c r="U10" s="34">
        <v>389.42482683962561</v>
      </c>
      <c r="V10" s="34">
        <v>390.06977839321883</v>
      </c>
    </row>
    <row r="11" spans="2:22" ht="16.05" customHeight="1" x14ac:dyDescent="0.25">
      <c r="N11" s="34">
        <v>348.20478067243045</v>
      </c>
      <c r="O11" s="34">
        <v>348.78146505099386</v>
      </c>
      <c r="P11" s="34">
        <v>349.35910451372337</v>
      </c>
      <c r="Q11" s="34">
        <v>349.93770064239476</v>
      </c>
      <c r="R11" s="34">
        <v>350.51725502140476</v>
      </c>
      <c r="S11" s="34">
        <v>351.09776923777315</v>
      </c>
      <c r="T11" s="34">
        <v>351.67924488114869</v>
      </c>
      <c r="U11" s="34">
        <v>352.2616835438123</v>
      </c>
      <c r="V11" s="34">
        <v>352.84508682068275</v>
      </c>
    </row>
    <row r="12" spans="2:22" ht="16.05" customHeight="1" x14ac:dyDescent="0.25">
      <c r="M12" s="34">
        <v>314.45451314617065</v>
      </c>
      <c r="N12" s="34">
        <v>314.97530153152826</v>
      </c>
      <c r="O12" s="34">
        <v>315.49695242809486</v>
      </c>
      <c r="P12" s="34">
        <v>316.01946726433107</v>
      </c>
      <c r="Q12" s="34">
        <v>316.54284747106266</v>
      </c>
      <c r="R12" s="34">
        <v>317.06709448148587</v>
      </c>
      <c r="S12" s="34">
        <v>317.59220973116987</v>
      </c>
      <c r="T12" s="34">
        <v>318.1181946580619</v>
      </c>
      <c r="U12" s="34">
        <v>318.64505070249021</v>
      </c>
      <c r="V12" s="34">
        <v>319.17277930716898</v>
      </c>
    </row>
    <row r="13" spans="2:22" ht="16.05" customHeight="1" x14ac:dyDescent="0.25">
      <c r="L13" s="34">
        <v>283.97554062021044</v>
      </c>
      <c r="M13" s="34">
        <v>284.44585081484229</v>
      </c>
      <c r="N13" s="34">
        <v>284.91693992049829</v>
      </c>
      <c r="O13" s="34">
        <v>285.38880922718317</v>
      </c>
      <c r="P13" s="34">
        <v>285.86146002703828</v>
      </c>
      <c r="Q13" s="34">
        <v>286.33489361434448</v>
      </c>
      <c r="R13" s="34">
        <v>286.80911128552685</v>
      </c>
      <c r="S13" s="34">
        <v>287.28411433915704</v>
      </c>
      <c r="T13" s="34">
        <v>287.75990407595765</v>
      </c>
      <c r="U13" s="34">
        <v>288.23648179880524</v>
      </c>
      <c r="V13" s="34">
        <v>288.71384881273457</v>
      </c>
    </row>
    <row r="14" spans="2:22" ht="16.05" customHeight="1" x14ac:dyDescent="0.25">
      <c r="K14" s="34">
        <v>256.45078794927389</v>
      </c>
      <c r="L14" s="34">
        <v>256.87551262707717</v>
      </c>
      <c r="M14" s="34">
        <v>257.30094071879216</v>
      </c>
      <c r="N14" s="34">
        <v>257.72707338938812</v>
      </c>
      <c r="O14" s="34">
        <v>258.15391180576347</v>
      </c>
      <c r="P14" s="34">
        <v>258.58145713674941</v>
      </c>
      <c r="Q14" s="34">
        <v>259.00971055311248</v>
      </c>
      <c r="R14" s="34">
        <v>259.43867322755881</v>
      </c>
      <c r="S14" s="34">
        <v>259.86834633473626</v>
      </c>
      <c r="T14" s="34">
        <v>260.29873105123835</v>
      </c>
      <c r="U14" s="34">
        <v>260.72982855560707</v>
      </c>
      <c r="V14" s="34">
        <v>261.16164002833648</v>
      </c>
    </row>
    <row r="15" spans="2:22" ht="16.05" customHeight="1" x14ac:dyDescent="0.25">
      <c r="J15" s="34">
        <v>231.59391296928766</v>
      </c>
      <c r="K15" s="34">
        <v>231.97747057444715</v>
      </c>
      <c r="L15" s="34">
        <v>232.36166341407625</v>
      </c>
      <c r="M15" s="34">
        <v>232.74649254022768</v>
      </c>
      <c r="N15" s="34">
        <v>233.1319590066966</v>
      </c>
      <c r="O15" s="34">
        <v>233.51806386902345</v>
      </c>
      <c r="P15" s="34">
        <v>233.90480818449672</v>
      </c>
      <c r="Q15" s="34">
        <v>234.29219301215585</v>
      </c>
      <c r="R15" s="34">
        <v>234.68021941279454</v>
      </c>
      <c r="S15" s="34">
        <v>235.06888844896301</v>
      </c>
      <c r="T15" s="34">
        <v>235.45820118497144</v>
      </c>
      <c r="U15" s="34">
        <v>235.84815868689259</v>
      </c>
      <c r="V15" s="34">
        <v>236.23876202256497</v>
      </c>
    </row>
    <row r="16" spans="2:22" ht="16.05" customHeight="1" x14ac:dyDescent="0.25">
      <c r="I16" s="34">
        <v>209.14632765735615</v>
      </c>
      <c r="J16" s="34">
        <v>209.49270836976626</v>
      </c>
      <c r="K16" s="34">
        <v>209.83966274559799</v>
      </c>
      <c r="L16" s="34">
        <v>210.18719173493218</v>
      </c>
      <c r="M16" s="34">
        <v>210.53529628942334</v>
      </c>
      <c r="N16" s="34">
        <v>210.88397736230201</v>
      </c>
      <c r="O16" s="34">
        <v>211.23323590837748</v>
      </c>
      <c r="P16" s="34">
        <v>211.58307288404035</v>
      </c>
      <c r="Q16" s="34">
        <v>211.93348924726502</v>
      </c>
      <c r="R16" s="34">
        <v>212.28448595761273</v>
      </c>
      <c r="S16" s="34">
        <v>212.6360639762336</v>
      </c>
      <c r="T16" s="34">
        <v>212.98822426586983</v>
      </c>
      <c r="U16" s="34">
        <v>213.34096779085792</v>
      </c>
      <c r="V16" s="34">
        <v>213.69429551713162</v>
      </c>
    </row>
    <row r="17" spans="2:22" ht="16.05" customHeight="1" x14ac:dyDescent="0.25">
      <c r="H17" s="34">
        <v>188.87450802024736</v>
      </c>
      <c r="I17" s="34">
        <v>189.18731526566711</v>
      </c>
      <c r="J17" s="34">
        <v>189.50064057132602</v>
      </c>
      <c r="K17" s="34">
        <v>189.81448479521703</v>
      </c>
      <c r="L17" s="34">
        <v>190.128848796754</v>
      </c>
      <c r="M17" s="34">
        <v>190.44373343677418</v>
      </c>
      <c r="N17" s="34">
        <v>190.75913957754057</v>
      </c>
      <c r="O17" s="34">
        <v>191.07506808274417</v>
      </c>
      <c r="P17" s="34">
        <v>191.39151981750638</v>
      </c>
      <c r="Q17" s="34">
        <v>191.70849564838133</v>
      </c>
      <c r="R17" s="34">
        <v>192.02599644335848</v>
      </c>
      <c r="S17" s="34">
        <v>192.3440230718646</v>
      </c>
      <c r="T17" s="34">
        <v>192.66257640476658</v>
      </c>
      <c r="U17" s="34">
        <v>192.98165731437345</v>
      </c>
      <c r="V17" s="34">
        <v>193.30126667443906</v>
      </c>
    </row>
    <row r="18" spans="2:22" ht="16.05" customHeight="1" x14ac:dyDescent="0.25">
      <c r="G18" s="34">
        <v>170.5675647259483</v>
      </c>
      <c r="H18" s="34">
        <v>170.85005266272248</v>
      </c>
      <c r="I18" s="34">
        <v>171.1330084459747</v>
      </c>
      <c r="J18" s="34">
        <v>171.41643285053567</v>
      </c>
      <c r="K18" s="34">
        <v>171.70032665251938</v>
      </c>
      <c r="L18" s="34">
        <v>171.98469062932506</v>
      </c>
      <c r="M18" s="34">
        <v>172.26952555963956</v>
      </c>
      <c r="N18" s="34">
        <v>172.55483222343935</v>
      </c>
      <c r="O18" s="34">
        <v>172.84061140199267</v>
      </c>
      <c r="P18" s="34">
        <v>173.12686387786167</v>
      </c>
      <c r="Q18" s="34">
        <v>173.41359043490445</v>
      </c>
      <c r="R18" s="34">
        <v>173.70079185827751</v>
      </c>
      <c r="S18" s="34">
        <v>173.98846893443749</v>
      </c>
      <c r="T18" s="34">
        <v>174.27662245114371</v>
      </c>
      <c r="U18" s="34">
        <v>174.56525319745998</v>
      </c>
      <c r="V18" s="34">
        <v>174.8543619637571</v>
      </c>
    </row>
    <row r="19" spans="2:22" ht="16.05" customHeight="1" x14ac:dyDescent="0.25">
      <c r="F19" s="34">
        <v>154.03504920537898</v>
      </c>
      <c r="G19" s="34">
        <v>154.29015657770302</v>
      </c>
      <c r="H19" s="34">
        <v>154.54568644978761</v>
      </c>
      <c r="I19" s="34">
        <v>154.80163952136189</v>
      </c>
      <c r="J19" s="34">
        <v>155.05801649331383</v>
      </c>
      <c r="K19" s="34">
        <v>155.31481806769219</v>
      </c>
      <c r="L19" s="34">
        <v>155.57204494770832</v>
      </c>
      <c r="M19" s="34">
        <v>155.82969783773834</v>
      </c>
      <c r="N19" s="34">
        <v>156.08777744332491</v>
      </c>
      <c r="O19" s="34">
        <v>156.34628447117913</v>
      </c>
      <c r="P19" s="34">
        <v>156.60521962918261</v>
      </c>
      <c r="Q19" s="34">
        <v>156.86458362638922</v>
      </c>
      <c r="R19" s="34">
        <v>157.12437717302726</v>
      </c>
      <c r="S19" s="34">
        <v>157.38460098050118</v>
      </c>
      <c r="T19" s="34">
        <v>157.64525576139371</v>
      </c>
      <c r="U19" s="34">
        <v>157.9063422294677</v>
      </c>
      <c r="V19" s="34">
        <v>158.16786109966813</v>
      </c>
    </row>
    <row r="20" spans="2:22" ht="16.05" customHeight="1" x14ac:dyDescent="0.25">
      <c r="E20" s="34">
        <v>139.10497240096899</v>
      </c>
      <c r="F20" s="34">
        <v>139.33535311087547</v>
      </c>
      <c r="G20" s="34">
        <v>139.56611536912334</v>
      </c>
      <c r="H20" s="34">
        <v>139.79725980761935</v>
      </c>
      <c r="I20" s="34">
        <v>140.0287870593169</v>
      </c>
      <c r="J20" s="34">
        <v>140.26069775821759</v>
      </c>
      <c r="K20" s="34">
        <v>140.49299253937306</v>
      </c>
      <c r="L20" s="34">
        <v>140.72567203888664</v>
      </c>
      <c r="M20" s="34">
        <v>140.95873689391522</v>
      </c>
      <c r="N20" s="34">
        <v>141.19218774267091</v>
      </c>
      <c r="O20" s="34">
        <v>141.42602522442277</v>
      </c>
      <c r="P20" s="34">
        <v>141.66024997949867</v>
      </c>
      <c r="Q20" s="34">
        <v>141.89486264928686</v>
      </c>
      <c r="R20" s="34">
        <v>142.12986387623798</v>
      </c>
      <c r="S20" s="34">
        <v>142.36525430386649</v>
      </c>
      <c r="T20" s="34">
        <v>142.6010345767528</v>
      </c>
      <c r="U20" s="34">
        <v>142.83720534054473</v>
      </c>
      <c r="V20" s="34">
        <v>143.07376724195944</v>
      </c>
    </row>
    <row r="21" spans="2:22" ht="16.05" customHeight="1" x14ac:dyDescent="0.25">
      <c r="D21" s="34">
        <v>125.62201555098167</v>
      </c>
      <c r="E21" s="34">
        <v>125.83006626709191</v>
      </c>
      <c r="F21" s="34">
        <v>126.03846154940167</v>
      </c>
      <c r="G21" s="34">
        <v>126.24720196856926</v>
      </c>
      <c r="H21" s="34">
        <v>126.45628809619802</v>
      </c>
      <c r="I21" s="34">
        <v>126.66572050483805</v>
      </c>
      <c r="J21" s="34">
        <v>126.87549976798765</v>
      </c>
      <c r="K21" s="34">
        <v>127.08562646009494</v>
      </c>
      <c r="L21" s="34">
        <v>127.29610115655937</v>
      </c>
      <c r="M21" s="34">
        <v>127.50692443373342</v>
      </c>
      <c r="N21" s="34">
        <v>127.71809686892404</v>
      </c>
      <c r="O21" s="34">
        <v>127.92961904039431</v>
      </c>
      <c r="P21" s="34">
        <v>128.1414915273651</v>
      </c>
      <c r="Q21" s="34">
        <v>128.35371491001638</v>
      </c>
      <c r="R21" s="34">
        <v>128.5662897694892</v>
      </c>
      <c r="S21" s="34">
        <v>128.7792166878869</v>
      </c>
      <c r="T21" s="34">
        <v>128.99249624827701</v>
      </c>
      <c r="U21" s="34">
        <v>129.20612903469265</v>
      </c>
      <c r="V21" s="34">
        <v>129.42011563213418</v>
      </c>
    </row>
    <row r="22" spans="2:22" ht="16.05" customHeight="1" x14ac:dyDescent="0.25">
      <c r="C22" s="34">
        <v>113.44591439623585</v>
      </c>
      <c r="D22" s="34">
        <v>113.63379948649171</v>
      </c>
      <c r="E22" s="34">
        <v>113.82199574535446</v>
      </c>
      <c r="F22" s="34">
        <v>114.01050368817049</v>
      </c>
      <c r="G22" s="34">
        <v>114.19932383113968</v>
      </c>
      <c r="H22" s="34">
        <v>114.38845669131682</v>
      </c>
      <c r="I22" s="34">
        <v>114.57790278661304</v>
      </c>
      <c r="J22" s="34">
        <v>114.76766263579721</v>
      </c>
      <c r="K22" s="34">
        <v>114.95773675849738</v>
      </c>
      <c r="L22" s="34">
        <v>115.14812567520214</v>
      </c>
      <c r="M22" s="34">
        <v>115.33882990726214</v>
      </c>
      <c r="N22" s="34">
        <v>115.52984997689147</v>
      </c>
      <c r="O22" s="34">
        <v>115.72118640716906</v>
      </c>
      <c r="P22" s="34">
        <v>115.91283972204022</v>
      </c>
      <c r="Q22" s="34">
        <v>116.10481044631788</v>
      </c>
      <c r="R22" s="34">
        <v>116.29709910568428</v>
      </c>
      <c r="S22" s="34">
        <v>116.48970622669216</v>
      </c>
      <c r="T22" s="34">
        <v>116.6826323367664</v>
      </c>
      <c r="U22" s="34">
        <v>116.87587796420534</v>
      </c>
      <c r="V22" s="34">
        <v>117.06944363818229</v>
      </c>
    </row>
    <row r="23" spans="2:22" ht="16.05" customHeight="1" x14ac:dyDescent="0.25">
      <c r="B23" s="34">
        <v>102.45</v>
      </c>
      <c r="C23" s="34">
        <v>102.61967404775356</v>
      </c>
      <c r="D23" s="34">
        <v>102.78962910363285</v>
      </c>
      <c r="E23" s="34">
        <v>102.95986563303353</v>
      </c>
      <c r="F23" s="34">
        <v>103.13038410212205</v>
      </c>
      <c r="G23" s="34">
        <v>103.3011849778369</v>
      </c>
      <c r="H23" s="34">
        <v>103.47226872788988</v>
      </c>
      <c r="I23" s="34">
        <v>103.64363582076743</v>
      </c>
      <c r="J23" s="34">
        <v>103.81528672573185</v>
      </c>
      <c r="K23" s="34">
        <v>103.98722191282265</v>
      </c>
      <c r="L23" s="34">
        <v>104.15944185285775</v>
      </c>
      <c r="M23" s="34">
        <v>104.33194701743487</v>
      </c>
      <c r="N23" s="34">
        <v>104.50473787893276</v>
      </c>
      <c r="O23" s="34">
        <v>104.67781491051248</v>
      </c>
      <c r="P23" s="34">
        <v>104.85117858611878</v>
      </c>
      <c r="Q23" s="34">
        <v>105.02482938048128</v>
      </c>
      <c r="R23" s="34">
        <v>105.19876776911586</v>
      </c>
      <c r="S23" s="34">
        <v>105.37299422832594</v>
      </c>
      <c r="T23" s="34">
        <v>105.54750923520376</v>
      </c>
      <c r="U23" s="34">
        <v>105.72231326763171</v>
      </c>
      <c r="V23" s="34">
        <v>105.89740680428362</v>
      </c>
    </row>
    <row r="24" spans="2:22" ht="16.05" customHeight="1" x14ac:dyDescent="0.25">
      <c r="C24" s="34">
        <v>92.826591047483319</v>
      </c>
      <c r="D24" s="34">
        <v>92.980327147455895</v>
      </c>
      <c r="E24" s="34">
        <v>93.134317859691706</v>
      </c>
      <c r="F24" s="34">
        <v>93.288563605870522</v>
      </c>
      <c r="G24" s="34">
        <v>93.443064808370508</v>
      </c>
      <c r="H24" s="34">
        <v>93.59782189026933</v>
      </c>
      <c r="I24" s="34">
        <v>93.752835275345348</v>
      </c>
      <c r="J24" s="34">
        <v>93.908105388078781</v>
      </c>
      <c r="K24" s="34">
        <v>94.06363265365286</v>
      </c>
      <c r="L24" s="34">
        <v>94.21941749795495</v>
      </c>
      <c r="M24" s="34">
        <v>94.375460347577786</v>
      </c>
      <c r="N24" s="34">
        <v>94.531761629820636</v>
      </c>
      <c r="O24" s="34">
        <v>94.688321772690387</v>
      </c>
      <c r="P24" s="34">
        <v>94.845141204902831</v>
      </c>
      <c r="Q24" s="34">
        <v>95.002220355883736</v>
      </c>
      <c r="R24" s="34">
        <v>95.159559655770096</v>
      </c>
      <c r="S24" s="34">
        <v>95.317159535411292</v>
      </c>
      <c r="T24" s="34">
        <v>95.47502042637025</v>
      </c>
      <c r="U24" s="34">
        <v>95.633142760924628</v>
      </c>
      <c r="V24" s="34">
        <v>95.791526972068013</v>
      </c>
    </row>
    <row r="25" spans="2:22" ht="16.05" customHeight="1" x14ac:dyDescent="0.25">
      <c r="D25" s="34">
        <v>84.107135241549145</v>
      </c>
      <c r="E25" s="34">
        <v>84.24643048880526</v>
      </c>
      <c r="F25" s="34">
        <v>84.385956431897739</v>
      </c>
      <c r="G25" s="34">
        <v>84.525713452896824</v>
      </c>
      <c r="H25" s="34">
        <v>84.665701934505506</v>
      </c>
      <c r="I25" s="34">
        <v>84.80592226006064</v>
      </c>
      <c r="J25" s="34">
        <v>84.946374813533922</v>
      </c>
      <c r="K25" s="34">
        <v>85.087059979532995</v>
      </c>
      <c r="L25" s="34">
        <v>85.227978143302408</v>
      </c>
      <c r="M25" s="34">
        <v>85.369129690724819</v>
      </c>
      <c r="N25" s="34">
        <v>85.510515008321931</v>
      </c>
      <c r="O25" s="34">
        <v>85.652134483255594</v>
      </c>
      <c r="P25" s="34">
        <v>85.793988503328862</v>
      </c>
      <c r="Q25" s="34">
        <v>85.936077456987064</v>
      </c>
      <c r="R25" s="34">
        <v>86.078401733318827</v>
      </c>
      <c r="S25" s="34">
        <v>86.220961722057226</v>
      </c>
      <c r="T25" s="34">
        <v>86.363757813580762</v>
      </c>
      <c r="U25" s="34">
        <v>86.506790398914475</v>
      </c>
      <c r="V25" s="34">
        <v>86.650059869730995</v>
      </c>
    </row>
    <row r="26" spans="2:22" ht="16.05" customHeight="1" x14ac:dyDescent="0.25">
      <c r="E26" s="34">
        <v>76.206721788605705</v>
      </c>
      <c r="F26" s="34">
        <v>76.332932651972243</v>
      </c>
      <c r="G26" s="34">
        <v>76.459352541283721</v>
      </c>
      <c r="H26" s="34">
        <v>76.585981802721449</v>
      </c>
      <c r="I26" s="34">
        <v>76.712820783040115</v>
      </c>
      <c r="J26" s="34">
        <v>76.839869829568684</v>
      </c>
      <c r="K26" s="34">
        <v>76.967129290211346</v>
      </c>
      <c r="L26" s="34">
        <v>77.094599513448443</v>
      </c>
      <c r="M26" s="34">
        <v>77.222280848337519</v>
      </c>
      <c r="N26" s="34">
        <v>77.3501736445142</v>
      </c>
      <c r="O26" s="34">
        <v>77.478278252193121</v>
      </c>
      <c r="P26" s="34">
        <v>77.606595022168975</v>
      </c>
      <c r="Q26" s="34">
        <v>77.735124305817422</v>
      </c>
      <c r="R26" s="34">
        <v>77.863866455096016</v>
      </c>
      <c r="S26" s="34">
        <v>77.992821822545295</v>
      </c>
      <c r="T26" s="34">
        <v>78.121990761289595</v>
      </c>
      <c r="U26" s="34">
        <v>78.251373625038113</v>
      </c>
      <c r="V26" s="34">
        <v>78.380970768085803</v>
      </c>
    </row>
    <row r="27" spans="2:22" ht="16.05" customHeight="1" x14ac:dyDescent="0.25">
      <c r="F27" s="34">
        <v>69.048415798342972</v>
      </c>
      <c r="G27" s="34">
        <v>69.162771329816636</v>
      </c>
      <c r="H27" s="34">
        <v>69.277316252856011</v>
      </c>
      <c r="I27" s="34">
        <v>69.392050881124675</v>
      </c>
      <c r="J27" s="34">
        <v>69.506975528805697</v>
      </c>
      <c r="K27" s="34">
        <v>69.62209051060249</v>
      </c>
      <c r="L27" s="34">
        <v>69.737396141739609</v>
      </c>
      <c r="M27" s="34">
        <v>69.852892737963742</v>
      </c>
      <c r="N27" s="34">
        <v>69.968580615544468</v>
      </c>
      <c r="O27" s="34">
        <v>70.084460091275176</v>
      </c>
      <c r="P27" s="34">
        <v>70.200531482473906</v>
      </c>
      <c r="Q27" s="34">
        <v>70.31679510698423</v>
      </c>
      <c r="R27" s="34">
        <v>70.433251283176105</v>
      </c>
      <c r="S27" s="34">
        <v>70.549900329946823</v>
      </c>
      <c r="T27" s="34">
        <v>70.666742566721766</v>
      </c>
      <c r="U27" s="34">
        <v>70.783778313455358</v>
      </c>
      <c r="V27" s="34">
        <v>70.901007890631874</v>
      </c>
    </row>
    <row r="28" spans="2:22" ht="16.05" customHeight="1" x14ac:dyDescent="0.25">
      <c r="G28" s="34">
        <v>62.562509085303766</v>
      </c>
      <c r="H28" s="34">
        <v>62.666122888662699</v>
      </c>
      <c r="I28" s="34">
        <v>62.769908293519116</v>
      </c>
      <c r="J28" s="34">
        <v>62.873865584073343</v>
      </c>
      <c r="K28" s="34">
        <v>62.977995044996376</v>
      </c>
      <c r="L28" s="34">
        <v>63.082296961430607</v>
      </c>
      <c r="M28" s="34">
        <v>63.186771618990768</v>
      </c>
      <c r="N28" s="34">
        <v>63.291419303764542</v>
      </c>
      <c r="O28" s="34">
        <v>63.396240302313473</v>
      </c>
      <c r="P28" s="34">
        <v>63.501234901673662</v>
      </c>
      <c r="Q28" s="34">
        <v>63.606403389356601</v>
      </c>
      <c r="R28" s="34">
        <v>63.71174605334992</v>
      </c>
      <c r="S28" s="34">
        <v>63.817263182118282</v>
      </c>
      <c r="T28" s="34">
        <v>63.922955064604032</v>
      </c>
      <c r="U28" s="34">
        <v>64.028821990228067</v>
      </c>
      <c r="V28" s="34">
        <v>64.134864248890565</v>
      </c>
    </row>
    <row r="29" spans="2:22" ht="16.05" customHeight="1" x14ac:dyDescent="0.25">
      <c r="H29" s="34">
        <v>56.685841344714035</v>
      </c>
      <c r="I29" s="34">
        <v>56.779722419885069</v>
      </c>
      <c r="J29" s="34">
        <v>56.873758977555198</v>
      </c>
      <c r="K29" s="34">
        <v>56.967951275229026</v>
      </c>
      <c r="L29" s="34">
        <v>57.062299570837567</v>
      </c>
      <c r="M29" s="34">
        <v>57.156804122739082</v>
      </c>
      <c r="N29" s="34">
        <v>57.251465189719674</v>
      </c>
      <c r="O29" s="34">
        <v>57.346283030994073</v>
      </c>
      <c r="P29" s="34">
        <v>57.441257906206282</v>
      </c>
      <c r="Q29" s="34">
        <v>57.536390075430319</v>
      </c>
      <c r="R29" s="34">
        <v>57.631679799170911</v>
      </c>
      <c r="S29" s="34">
        <v>57.727127338364298</v>
      </c>
      <c r="T29" s="34">
        <v>57.822732954378807</v>
      </c>
      <c r="U29" s="34">
        <v>57.918496909015651</v>
      </c>
      <c r="V29" s="34">
        <v>58.014419464509587</v>
      </c>
    </row>
    <row r="30" spans="2:22" ht="16.05" customHeight="1" x14ac:dyDescent="0.25">
      <c r="I30" s="34">
        <v>51.361185092125822</v>
      </c>
      <c r="J30" s="34">
        <v>51.446247660910601</v>
      </c>
      <c r="K30" s="34">
        <v>51.531451107297713</v>
      </c>
      <c r="L30" s="34">
        <v>51.616795664603615</v>
      </c>
      <c r="M30" s="34">
        <v>51.702281566531205</v>
      </c>
      <c r="N30" s="34">
        <v>51.787909047170409</v>
      </c>
      <c r="O30" s="34">
        <v>51.873678340998886</v>
      </c>
      <c r="P30" s="34">
        <v>51.959589682882573</v>
      </c>
      <c r="Q30" s="34">
        <v>52.045643308076414</v>
      </c>
      <c r="R30" s="34">
        <v>52.131839452224952</v>
      </c>
      <c r="S30" s="34">
        <v>52.218178351363044</v>
      </c>
      <c r="T30" s="34">
        <v>52.30466024191643</v>
      </c>
      <c r="U30" s="34">
        <v>52.391285360702398</v>
      </c>
      <c r="V30" s="34">
        <v>52.478053944930423</v>
      </c>
    </row>
    <row r="31" spans="2:22" ht="16.05" customHeight="1" x14ac:dyDescent="0.25">
      <c r="J31" s="34">
        <v>46.536688377363205</v>
      </c>
      <c r="K31" s="34">
        <v>46.613760786206875</v>
      </c>
      <c r="L31" s="34">
        <v>46.69096083963403</v>
      </c>
      <c r="M31" s="34">
        <v>46.768288749045091</v>
      </c>
      <c r="N31" s="34">
        <v>46.845744726190595</v>
      </c>
      <c r="O31" s="34">
        <v>46.923328983171793</v>
      </c>
      <c r="P31" s="34">
        <v>47.001041732441159</v>
      </c>
      <c r="Q31" s="34">
        <v>47.078883186803068</v>
      </c>
      <c r="R31" s="34">
        <v>47.156853559414301</v>
      </c>
      <c r="S31" s="34">
        <v>47.234953063784701</v>
      </c>
      <c r="T31" s="34">
        <v>47.313181913777697</v>
      </c>
      <c r="U31" s="34">
        <v>47.391540323610911</v>
      </c>
      <c r="V31" s="34">
        <v>47.470028507856711</v>
      </c>
    </row>
    <row r="32" spans="2:22" ht="16.05" customHeight="1" x14ac:dyDescent="0.25">
      <c r="K32" s="34">
        <v>42.165369845872767</v>
      </c>
      <c r="L32" s="34">
        <v>42.235202632371305</v>
      </c>
      <c r="M32" s="34">
        <v>42.305151073448179</v>
      </c>
      <c r="N32" s="34">
        <v>42.375215360646393</v>
      </c>
      <c r="O32" s="34">
        <v>42.445395685826199</v>
      </c>
      <c r="P32" s="34">
        <v>42.515692241165539</v>
      </c>
      <c r="Q32" s="34">
        <v>42.586105219160693</v>
      </c>
      <c r="R32" s="34">
        <v>42.656634812626706</v>
      </c>
      <c r="S32" s="34">
        <v>42.727281214697996</v>
      </c>
      <c r="T32" s="34">
        <v>42.798044618828818</v>
      </c>
      <c r="U32" s="34">
        <v>42.868925218793834</v>
      </c>
      <c r="V32" s="34">
        <v>42.939923208688576</v>
      </c>
    </row>
    <row r="33" spans="12:22" ht="16.05" customHeight="1" x14ac:dyDescent="0.25">
      <c r="L33" s="34">
        <v>38.204661230343739</v>
      </c>
      <c r="M33" s="34">
        <v>38.267934432042182</v>
      </c>
      <c r="N33" s="34">
        <v>38.33131242456782</v>
      </c>
      <c r="O33" s="34">
        <v>38.394795381471525</v>
      </c>
      <c r="P33" s="34">
        <v>38.458383476591521</v>
      </c>
      <c r="Q33" s="34">
        <v>38.522076884054009</v>
      </c>
      <c r="R33" s="34">
        <v>38.58587577827354</v>
      </c>
      <c r="S33" s="34">
        <v>38.64978033395353</v>
      </c>
      <c r="T33" s="34">
        <v>38.713790726086749</v>
      </c>
      <c r="U33" s="34">
        <v>38.777907129955771</v>
      </c>
      <c r="V33" s="34">
        <v>38.842129721133418</v>
      </c>
    </row>
    <row r="34" spans="12:22" ht="16.05" customHeight="1" x14ac:dyDescent="0.25">
      <c r="M34" s="34">
        <v>34.615992817342693</v>
      </c>
      <c r="N34" s="34">
        <v>34.673322593997902</v>
      </c>
      <c r="O34" s="34">
        <v>34.730747318191071</v>
      </c>
      <c r="P34" s="34">
        <v>34.788267147170899</v>
      </c>
      <c r="Q34" s="34">
        <v>34.845882238446571</v>
      </c>
      <c r="R34" s="34">
        <v>34.90359274978811</v>
      </c>
      <c r="S34" s="34">
        <v>34.961398839226838</v>
      </c>
      <c r="T34" s="34">
        <v>35.019300665055816</v>
      </c>
      <c r="U34" s="34">
        <v>35.077298385830247</v>
      </c>
      <c r="V34" s="34">
        <v>35.135392160367893</v>
      </c>
    </row>
    <row r="35" spans="12:22" ht="16.05" customHeight="1" x14ac:dyDescent="0.25">
      <c r="N35" s="34">
        <v>31.364417852201949</v>
      </c>
      <c r="O35" s="34">
        <v>31.416362485998128</v>
      </c>
      <c r="P35" s="34">
        <v>31.468393148650076</v>
      </c>
      <c r="Q35" s="34">
        <v>31.520509982635748</v>
      </c>
      <c r="R35" s="34">
        <v>31.57271313066903</v>
      </c>
      <c r="S35" s="34">
        <v>31.625002735700185</v>
      </c>
      <c r="T35" s="34">
        <v>31.677378940916235</v>
      </c>
      <c r="U35" s="34">
        <v>31.729841889741319</v>
      </c>
      <c r="V35" s="34">
        <v>31.78239172583709</v>
      </c>
    </row>
    <row r="36" spans="12:22" ht="16.05" customHeight="1" x14ac:dyDescent="0.25">
      <c r="O36" s="34">
        <v>28.418272224585035</v>
      </c>
      <c r="P36" s="34">
        <v>28.465337556732496</v>
      </c>
      <c r="Q36" s="34">
        <v>28.512480836809829</v>
      </c>
      <c r="R36" s="34">
        <v>28.559702193911601</v>
      </c>
      <c r="S36" s="34">
        <v>28.607001757346222</v>
      </c>
      <c r="T36" s="34">
        <v>28.654379656636241</v>
      </c>
      <c r="U36" s="34">
        <v>28.701836021518719</v>
      </c>
      <c r="V36" s="34">
        <v>28.749370981945553</v>
      </c>
    </row>
    <row r="37" spans="12:22" ht="16.05" customHeight="1" x14ac:dyDescent="0.25">
      <c r="P37" s="34">
        <v>25.748866120718485</v>
      </c>
      <c r="Q37" s="34">
        <v>25.791510477377997</v>
      </c>
      <c r="R37" s="34">
        <v>25.834225460104932</v>
      </c>
      <c r="S37" s="34">
        <v>25.877011185867683</v>
      </c>
      <c r="T37" s="34">
        <v>25.919867771828354</v>
      </c>
      <c r="U37" s="34">
        <v>25.962795335343085</v>
      </c>
      <c r="V37" s="34">
        <v>26.005793993962353</v>
      </c>
    </row>
    <row r="38" spans="12:22" ht="16.05" customHeight="1" x14ac:dyDescent="0.25">
      <c r="Q38" s="34">
        <v>23.330204639573775</v>
      </c>
      <c r="R38" s="34">
        <v>23.368843295075141</v>
      </c>
      <c r="S38" s="34">
        <v>23.40754594254409</v>
      </c>
      <c r="T38" s="34">
        <v>23.446312687961846</v>
      </c>
      <c r="U38" s="34">
        <v>23.485143637485155</v>
      </c>
      <c r="V38" s="34">
        <v>23.524038897446552</v>
      </c>
    </row>
    <row r="39" spans="12:22" ht="16.05" customHeight="1" x14ac:dyDescent="0.25">
      <c r="R39" s="34">
        <v>21.138734652335895</v>
      </c>
      <c r="S39" s="34">
        <v>21.173743873154343</v>
      </c>
      <c r="T39" s="34">
        <v>21.208811074999687</v>
      </c>
      <c r="U39" s="34">
        <v>21.243936353898043</v>
      </c>
      <c r="V39" s="34">
        <v>21.27911980603454</v>
      </c>
    </row>
    <row r="40" spans="12:22" ht="16.05" customHeight="1" x14ac:dyDescent="0.25">
      <c r="S40" s="34">
        <v>19.153115440055135</v>
      </c>
      <c r="T40" s="34">
        <v>19.184836148925857</v>
      </c>
      <c r="U40" s="34">
        <v>19.2166093925069</v>
      </c>
      <c r="V40" s="34">
        <v>19.248435257804363</v>
      </c>
    </row>
    <row r="41" spans="12:22" ht="16.05" customHeight="1" x14ac:dyDescent="0.25">
      <c r="T41" s="34">
        <v>17.354010875932033</v>
      </c>
      <c r="U41" s="34">
        <v>17.38275197178444</v>
      </c>
      <c r="V41" s="34">
        <v>17.411540667618002</v>
      </c>
    </row>
    <row r="42" spans="12:22" ht="16.05" customHeight="1" x14ac:dyDescent="0.25">
      <c r="U42" s="34">
        <v>15.723901128489224</v>
      </c>
      <c r="V42" s="34">
        <v>15.74994249453068</v>
      </c>
    </row>
    <row r="43" spans="12:22" ht="16.05" customHeight="1" x14ac:dyDescent="0.25">
      <c r="V43" s="34">
        <v>14.246912051979798</v>
      </c>
    </row>
  </sheetData>
  <conditionalFormatting sqref="B3:V43">
    <cfRule type="colorScale" priority="1">
      <colorScale>
        <cfvo type="min"/>
        <cfvo type="percentile" val="50"/>
        <cfvo type="max"/>
        <color rgb="FFFFE699"/>
        <color rgb="FFFF9900"/>
        <color rgb="FF70AD47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Pricer</vt:lpstr>
      <vt:lpstr>Convergence</vt:lpstr>
      <vt:lpstr>Gap_Strike</vt:lpstr>
      <vt:lpstr>graph</vt:lpstr>
      <vt:lpstr>Divamount</vt:lpstr>
      <vt:lpstr>divDate</vt:lpstr>
      <vt:lpstr>EU_US</vt:lpstr>
      <vt:lpstr>IntRate</vt:lpstr>
      <vt:lpstr>Mat</vt:lpstr>
      <vt:lpstr>Negative_prob</vt:lpstr>
      <vt:lpstr>OptPrice</vt:lpstr>
      <vt:lpstr>OptType</vt:lpstr>
      <vt:lpstr>Pr_date</vt:lpstr>
      <vt:lpstr>St</vt:lpstr>
      <vt:lpstr>Steps</vt:lpstr>
      <vt:lpstr>Strike</vt:lpstr>
      <vt:lpstr>Time_VBA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Chadi Rais</dc:creator>
  <cp:lastModifiedBy>Chadi Rais</cp:lastModifiedBy>
  <dcterms:created xsi:type="dcterms:W3CDTF">2025-11-02T13:48:51Z</dcterms:created>
  <dcterms:modified xsi:type="dcterms:W3CDTF">2025-11-04T21:54:01Z</dcterms:modified>
</cp:coreProperties>
</file>